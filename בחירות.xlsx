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וצאות" sheetId="1" r:id="rId5"/>
    <sheet state="visible" name="נתונים" sheetId="2" r:id="rId6"/>
    <sheet state="visible" name="נוסחאות" sheetId="3" r:id="rId7"/>
    <sheet state="hidden" name="abc" sheetId="4" r:id="rId8"/>
  </sheets>
  <definedNames/>
  <calcPr/>
</workbook>
</file>

<file path=xl/sharedStrings.xml><?xml version="1.0" encoding="utf-8"?>
<sst xmlns="http://schemas.openxmlformats.org/spreadsheetml/2006/main" count="473" uniqueCount="186">
  <si>
    <t>תוצאות הבחירות</t>
  </si>
  <si>
    <t>סה"כ קולות</t>
  </si>
  <si>
    <t>מודד למנדט</t>
  </si>
  <si>
    <t>מהעודפים</t>
  </si>
  <si>
    <t>עברה</t>
  </si>
  <si>
    <t>בטוח בכנסת?</t>
  </si>
  <si>
    <t>כמה למנדט הבא</t>
  </si>
  <si>
    <t>המנדטים אחרי</t>
  </si>
  <si>
    <t>מהקולות</t>
  </si>
  <si>
    <t>שעת עדכון</t>
  </si>
  <si>
    <t>סדר העודפים</t>
  </si>
  <si>
    <t>סה"כ בז"ב</t>
  </si>
  <si>
    <t>כן</t>
  </si>
  <si>
    <t>מפלגה</t>
  </si>
  <si>
    <t>מנדטים</t>
  </si>
  <si>
    <t>אחוז הצבעה</t>
  </si>
  <si>
    <t>לא</t>
  </si>
  <si>
    <t>מחל</t>
  </si>
  <si>
    <t>הליכוד</t>
  </si>
  <si>
    <t>לכאורה מצביעים</t>
  </si>
  <si>
    <t>פה</t>
  </si>
  <si>
    <t>יש עתיד</t>
  </si>
  <si>
    <t>סה"כ נספרו</t>
  </si>
  <si>
    <t>ט</t>
  </si>
  <si>
    <t>הציונות הדתית</t>
  </si>
  <si>
    <t>קולות פסולים</t>
  </si>
  <si>
    <t>המחנה הממלכתי</t>
  </si>
  <si>
    <t>כמה כיסינו</t>
  </si>
  <si>
    <t>שס</t>
  </si>
  <si>
    <t>ש"ס</t>
  </si>
  <si>
    <t>ג</t>
  </si>
  <si>
    <t>יהדות התורה</t>
  </si>
  <si>
    <t>לא עברו</t>
  </si>
  <si>
    <t>ל</t>
  </si>
  <si>
    <t>ישראל ביתנו</t>
  </si>
  <si>
    <t>הלכו לפח</t>
  </si>
  <si>
    <t>אמת</t>
  </si>
  <si>
    <t>העבודה</t>
  </si>
  <si>
    <t>במנדטים</t>
  </si>
  <si>
    <t>מרצ</t>
  </si>
  <si>
    <t>ום</t>
  </si>
  <si>
    <t>חד"ש-תע"ל</t>
  </si>
  <si>
    <t>עם</t>
  </si>
  <si>
    <t>רע"ם</t>
  </si>
  <si>
    <t>ד</t>
  </si>
  <si>
    <t>בל"ד</t>
  </si>
  <si>
    <t>ב</t>
  </si>
  <si>
    <t>הבית היהודי</t>
  </si>
  <si>
    <t>יז</t>
  </si>
  <si>
    <t>הכלכלית החדשה</t>
  </si>
  <si>
    <t>י</t>
  </si>
  <si>
    <t>ישראל חופשית</t>
  </si>
  <si>
    <t>גוש ביבי</t>
  </si>
  <si>
    <t>צ</t>
  </si>
  <si>
    <t>צעירים בוערים</t>
  </si>
  <si>
    <t>הקואליציה היוצאת</t>
  </si>
  <si>
    <t>בניית ממשלה</t>
  </si>
  <si>
    <t>אצ</t>
  </si>
  <si>
    <t>חופש כלכלי</t>
  </si>
  <si>
    <t>ביבי, חרדים, גנץ</t>
  </si>
  <si>
    <t>מדגמים</t>
  </si>
  <si>
    <t>ז</t>
  </si>
  <si>
    <t>שחר כח חברתי</t>
  </si>
  <si>
    <t>חוסם לביבי עם חד"ש</t>
  </si>
  <si>
    <t>זך</t>
  </si>
  <si>
    <t>קמ"ה</t>
  </si>
  <si>
    <t>זנ</t>
  </si>
  <si>
    <t>כח להשפיע</t>
  </si>
  <si>
    <t>הקואליציה</t>
  </si>
  <si>
    <t>זץ</t>
  </si>
  <si>
    <t>צומת</t>
  </si>
  <si>
    <t>חדש</t>
  </si>
  <si>
    <t>ינ</t>
  </si>
  <si>
    <t>איחוד בני הברית</t>
  </si>
  <si>
    <t>על סף אחוז החסימה</t>
  </si>
  <si>
    <t>יץ</t>
  </si>
  <si>
    <t>צו השעה</t>
  </si>
  <si>
    <t>בקולות</t>
  </si>
  <si>
    <t>באחוזים</t>
  </si>
  <si>
    <t>יק</t>
  </si>
  <si>
    <t>הגוש התנכ"י</t>
  </si>
  <si>
    <t>ך</t>
  </si>
  <si>
    <t>אני ואתה</t>
  </si>
  <si>
    <t>הממלכתי</t>
  </si>
  <si>
    <t>נז</t>
  </si>
  <si>
    <t>כבוד האדם</t>
  </si>
  <si>
    <t>ני</t>
  </si>
  <si>
    <t>נתיב</t>
  </si>
  <si>
    <t>נף</t>
  </si>
  <si>
    <t>שמע</t>
  </si>
  <si>
    <t>עריקים</t>
  </si>
  <si>
    <t>נץ</t>
  </si>
  <si>
    <t>העצמאים החדשים</t>
  </si>
  <si>
    <t>נק</t>
  </si>
  <si>
    <t>יש כיוון</t>
  </si>
  <si>
    <t>נר</t>
  </si>
  <si>
    <t>אנחנו</t>
  </si>
  <si>
    <t>ף</t>
  </si>
  <si>
    <t>הפיראטים</t>
  </si>
  <si>
    <t>ץ</t>
  </si>
  <si>
    <t>מנהיגות חברתית</t>
  </si>
  <si>
    <t>לעדכן ידנית!!</t>
  </si>
  <si>
    <t>תוספת</t>
  </si>
  <si>
    <t>סהכ קולות</t>
  </si>
  <si>
    <t>ק</t>
  </si>
  <si>
    <t>קול הסביבה והחי</t>
  </si>
  <si>
    <t>קי</t>
  </si>
  <si>
    <t>הלב היהודי</t>
  </si>
  <si>
    <t>קך</t>
  </si>
  <si>
    <t>סדר חדש</t>
  </si>
  <si>
    <t>מחל שס ג כן</t>
  </si>
  <si>
    <t>קנ</t>
  </si>
  <si>
    <t>כל קול קובע</t>
  </si>
  <si>
    <t>קואליציה+חדש</t>
  </si>
  <si>
    <t>קץ</t>
  </si>
  <si>
    <t>באומץ בשבילך</t>
  </si>
  <si>
    <t>שמאל יהודי</t>
  </si>
  <si>
    <t>רז</t>
  </si>
  <si>
    <t>רשימת שלושים/ארבעים</t>
  </si>
  <si>
    <t>ת</t>
  </si>
  <si>
    <t>עלה ירוק</t>
  </si>
  <si>
    <t>הליכוד בהנהגת בנימין נתניהו לראשות הממשלה</t>
  </si>
  <si>
    <t>קולות שהוזנו</t>
  </si>
  <si>
    <t>יש עתיד בראשות יאיר לפיד לראשות הממשלה</t>
  </si>
  <si>
    <t>הציונות הדתית בראשות בצלאל סמוטריץ` ועוצמה יהודית</t>
  </si>
  <si>
    <t>המחנה הממלכתי בהנהגת בני גנץ לראשות הממשלה</t>
  </si>
  <si>
    <t>התאחדות הספרדים שומרי תורה תנועתו של מרן הרב עובדי</t>
  </si>
  <si>
    <t>יהדות התורה והשבת אגודת ישראל - דגל התורה</t>
  </si>
  <si>
    <t>ישראל ביתנו בראשות אביגדור ליברמן</t>
  </si>
  <si>
    <t>הרשימה הערבית המאוחדת</t>
  </si>
  <si>
    <t>חד"ש תע"ל בראשות איימן עודה ואחמד טיבי</t>
  </si>
  <si>
    <t>מפלגת העבודה בראשות מרב מיכאלי</t>
  </si>
  <si>
    <t>מרצ השמאל של ישראל בראשות זהבה גלאון</t>
  </si>
  <si>
    <t>בל"ד - אלתג`מוע אלווטני אלדמוקרטי בראשות סמי אבו ש</t>
  </si>
  <si>
    <t>הבית היהודי בראשות איילת שקד</t>
  </si>
  <si>
    <t>חופש כלכלי בראשות אביר קארה</t>
  </si>
  <si>
    <t>הכלכלית החדשה בראשות פרופסור ירון זליכה</t>
  </si>
  <si>
    <t>צעירים בוערים בהנהגת הדר מוכתר</t>
  </si>
  <si>
    <t>הפיראטים- הכי טוב לדעתי אני רוצה להיות שם</t>
  </si>
  <si>
    <t>דעת טוב ורע וברית שבט אברהם-עלה ירוק ואוסרת אל איס</t>
  </si>
  <si>
    <t>נתיב - נחיה תמיד יחד בכבוד</t>
  </si>
  <si>
    <t>כל קול קובע נועם קולמן ולירון עופרי לראשות הממשלה</t>
  </si>
  <si>
    <t>יש כיוון בראשות עמוס דב סילבר</t>
  </si>
  <si>
    <t>ישראל חופשית דמוקרטית בראשות אלי אבידר</t>
  </si>
  <si>
    <t>סדר חדש- למען האזרחים הותיקים בישראל</t>
  </si>
  <si>
    <t>העצמאים החדשים בראשות יורם מועלמי</t>
  </si>
  <si>
    <t>רשימת שלושים\ארבעים בראשות סטלה ויינשטיין</t>
  </si>
  <si>
    <t>כבוד האדם בראשות עו"ד ארקדי פוגץ`</t>
  </si>
  <si>
    <t>שחר כוח חברתי בראשות וג`די טאהר</t>
  </si>
  <si>
    <t>מפלגת הגוש התנ"כי</t>
  </si>
  <si>
    <t>אנחנו - בראשות עו"ד מוש חוג`ה</t>
  </si>
  <si>
    <t>הלב היהודי בראשות אלי יוסף</t>
  </si>
  <si>
    <t>צומת בראשות משה גרין דרכו של רפול</t>
  </si>
  <si>
    <t>מפלגת שמע בראשות נפתלי גולדמן</t>
  </si>
  <si>
    <t>איחוד בני הברית -בראשות רב חובל בשארה שליאן</t>
  </si>
  <si>
    <t>קמ"ה - קידום מעמד הפרט</t>
  </si>
  <si>
    <t>כח להשפיע בראשות בני אלבז</t>
  </si>
  <si>
    <t>פתק</t>
  </si>
  <si>
    <t>מפלגות שעברו</t>
  </si>
  <si>
    <t>קולות</t>
  </si>
  <si>
    <t>מנדט 1</t>
  </si>
  <si>
    <t>עודפים</t>
  </si>
  <si>
    <t>מנדטים 1</t>
  </si>
  <si>
    <t>כמה חסר</t>
  </si>
  <si>
    <t>חסימה</t>
  </si>
  <si>
    <t>איחוד</t>
  </si>
  <si>
    <t>מודדים מאוחד</t>
  </si>
  <si>
    <t>דירוג מאוחד</t>
  </si>
  <si>
    <t>מודד רשימה 1</t>
  </si>
  <si>
    <t>מודד רשימה 2</t>
  </si>
  <si>
    <t>רשימה 1</t>
  </si>
  <si>
    <t>רשימה 2</t>
  </si>
  <si>
    <t>תוספת סהכ</t>
  </si>
  <si>
    <t>דירוג 1</t>
  </si>
  <si>
    <t>דירוג 2</t>
  </si>
  <si>
    <t>דירוג 3</t>
  </si>
  <si>
    <t>דירוג 4</t>
  </si>
  <si>
    <t>דירוג 5</t>
  </si>
  <si>
    <t>ליכוד-ציונות דתית</t>
  </si>
  <si>
    <t>יש עתיד-המחנה הממלכתי</t>
  </si>
  <si>
    <t>ש"ס-יהדות התורה</t>
  </si>
  <si>
    <t>העבודה-מרצ</t>
  </si>
  <si>
    <t>קול</t>
  </si>
  <si>
    <t>קולות מהגבול</t>
  </si>
  <si>
    <t>אחוז מהחסימה</t>
  </si>
  <si>
    <t>גבול החסימה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</si>
</sst>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.##"/>
    <numFmt numFmtId="165" formatCode="0.0%"/>
    <numFmt numFmtId="166" formatCode="h&quot;:&quot;mm"/>
    <numFmt numFmtId="167" formatCode="0.0000%"/>
    <numFmt numFmtId="168" formatCode="0.000%"/>
    <numFmt numFmtId="169" formatCode="0.0"/>
    <numFmt numFmtId="170" formatCode="h:mm:ss am/pm"/>
    <numFmt numFmtId="171" formatCode="0.000"/>
    <numFmt numFmtId="172" formatCode="0.00000"/>
  </numFmts>
  <fonts count="16">
    <font>
      <sz val="11.0"/>
      <color rgb="FF000000"/>
      <name val="Arial"/>
      <scheme val="minor"/>
    </font>
    <font>
      <sz val="11.0"/>
      <color rgb="FF000000"/>
      <name val="Arial"/>
    </font>
    <font>
      <color rgb="FFFFFFFF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606060"/>
      <name val="Arial"/>
    </font>
    <font>
      <sz val="11.0"/>
      <color rgb="FF7E3794"/>
      <name val="Inconsolata"/>
    </font>
    <font>
      <b/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1.0"/>
      <color rgb="FF000000"/>
      <name val="Inconsolata"/>
    </font>
    <font>
      <b/>
      <sz val="11.0"/>
      <color rgb="FF0079AB"/>
      <name val="Arial"/>
    </font>
    <font>
      <sz val="11.0"/>
      <color rgb="FFF7981D"/>
      <name val="Arial"/>
    </font>
    <font>
      <sz val="11.0"/>
      <color rgb="FFF7981D"/>
      <name val="Inconsolata"/>
    </font>
    <font>
      <b/>
      <sz val="11.0"/>
      <color rgb="FFF7981D"/>
      <name val="Arial"/>
    </font>
    <font>
      <b/>
      <sz val="11.0"/>
      <color rgb="FFF7981D"/>
      <name val="Inconsolata"/>
    </font>
  </fonts>
  <fills count="20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6D01"/>
        <bgColor rgb="FFFF6D01"/>
      </patternFill>
    </fill>
    <fill>
      <patternFill patternType="solid">
        <fgColor rgb="FFEBF7FF"/>
        <bgColor rgb="FFEBF7FF"/>
      </patternFill>
    </fill>
    <fill>
      <patternFill patternType="solid">
        <fgColor rgb="FFD5A6BD"/>
        <bgColor rgb="FFD5A6B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">
    <border/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1" numFmtId="164" xfId="0" applyAlignment="1" applyFill="1" applyFont="1" applyNumberFormat="1">
      <alignment horizontal="center" readingOrder="0"/>
    </xf>
    <xf borderId="0" fillId="3" fontId="4" numFmtId="165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2" fontId="2" numFmtId="3" xfId="0" applyAlignment="1" applyFill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4" fontId="1" numFmtId="0" xfId="0" applyAlignment="1" applyFill="1" applyFont="1">
      <alignment horizontal="center" readingOrder="0"/>
    </xf>
    <xf borderId="0" fillId="5" fontId="5" numFmtId="166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6" fontId="1" numFmtId="3" xfId="0" applyAlignment="1" applyFill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7" fontId="1" numFmtId="3" xfId="0" applyAlignment="1" applyFill="1" applyFont="1" applyNumberFormat="1">
      <alignment horizontal="center" readingOrder="0"/>
    </xf>
    <xf borderId="0" fillId="8" fontId="1" numFmtId="3" xfId="0" applyAlignment="1" applyFill="1" applyFont="1" applyNumberFormat="1">
      <alignment horizontal="center" readingOrder="0"/>
    </xf>
    <xf borderId="0" fillId="7" fontId="1" numFmtId="3" xfId="0" applyAlignment="1" applyFill="1" applyFont="1" applyNumberFormat="1">
      <alignment horizontal="center" vertical="bottom"/>
    </xf>
    <xf borderId="0" fillId="0" fontId="4" numFmtId="167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9" fontId="6" numFmtId="10" xfId="0" applyAlignment="1" applyFill="1" applyFont="1" applyNumberFormat="1">
      <alignment horizontal="left"/>
    </xf>
    <xf borderId="0" fillId="0" fontId="1" numFmtId="169" xfId="0" applyAlignment="1" applyFont="1" applyNumberFormat="1">
      <alignment horizontal="center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8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0" xfId="0" applyAlignment="1" applyFont="1" applyNumberForma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13" fontId="8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0" fontId="7" numFmtId="0" xfId="0" applyAlignment="1" applyFill="1" applyFont="1">
      <alignment horizontal="center"/>
    </xf>
    <xf borderId="0" fillId="11" fontId="7" numFmtId="0" xfId="0" applyAlignment="1" applyFill="1" applyFont="1">
      <alignment horizontal="center"/>
    </xf>
    <xf borderId="0" fillId="15" fontId="1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/>
    </xf>
    <xf borderId="0" fillId="15" fontId="4" numFmtId="3" xfId="0" applyAlignment="1" applyFill="1" applyFont="1" applyNumberForma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0" fontId="3" numFmtId="3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6" fontId="4" numFmtId="3" xfId="0" applyAlignment="1" applyFill="1" applyFont="1" applyNumberFormat="1">
      <alignment horizontal="right" readingOrder="0"/>
    </xf>
    <xf borderId="0" fillId="16" fontId="9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Font="1" applyNumberFormat="1"/>
    <xf borderId="0" fillId="0" fontId="3" numFmtId="10" xfId="0" applyFont="1" applyNumberFormat="1"/>
    <xf borderId="0" fillId="0" fontId="3" numFmtId="168" xfId="0" applyFont="1" applyNumberFormat="1"/>
    <xf borderId="0" fillId="14" fontId="4" numFmtId="0" xfId="0" applyAlignment="1" applyFill="1" applyFont="1">
      <alignment horizontal="center" readingOrder="0"/>
    </xf>
    <xf borderId="0" fillId="17" fontId="8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/>
    </xf>
    <xf borderId="0" fillId="9" fontId="10" numFmtId="0" xfId="0" applyAlignment="1" applyFill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1" fillId="6" fontId="11" numFmtId="0" xfId="0" applyAlignment="1" applyBorder="1" applyFill="1" applyFont="1">
      <alignment horizontal="right" readingOrder="0"/>
    </xf>
    <xf borderId="1" fillId="6" fontId="4" numFmtId="0" xfId="0" applyAlignment="1" applyBorder="1" applyFill="1" applyFont="1">
      <alignment horizontal="center" readingOrder="0"/>
    </xf>
    <xf borderId="1" fillId="6" fontId="4" numFmtId="10" xfId="0" applyAlignment="1" applyBorder="1" applyFill="1" applyFont="1" applyNumberFormat="1">
      <alignment horizontal="center" readingOrder="0"/>
    </xf>
    <xf borderId="2" fillId="6" fontId="1" numFmtId="3" xfId="0" applyAlignment="1" applyBorder="1" applyFill="1" applyFont="1" applyNumberFormat="1">
      <alignment horizontal="right" readingOrder="0"/>
    </xf>
    <xf borderId="0" fillId="0" fontId="3" numFmtId="170" xfId="0" applyAlignment="1" applyFont="1" applyNumberFormat="1">
      <alignment readingOrder="0"/>
    </xf>
    <xf borderId="2" fillId="6" fontId="1" numFmtId="0" xfId="0" applyAlignment="1" applyBorder="1" applyFill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2"/>
    </xf>
    <xf borderId="0" fillId="0" fontId="3" numFmtId="171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1" numFmtId="0" xfId="0" applyAlignment="1" applyFont="1">
      <alignment horizontal="center" readingOrder="0" vertical="bottom"/>
    </xf>
    <xf borderId="0" fillId="9" fontId="12" numFmtId="0" xfId="0" applyAlignment="1" applyFill="1" applyFont="1">
      <alignment horizontal="center" readingOrder="0"/>
    </xf>
    <xf borderId="0" fillId="9" fontId="13" numFmtId="0" xfId="0" applyAlignment="1" applyFill="1" applyFont="1">
      <alignment horizontal="center" readingOrder="0"/>
    </xf>
    <xf borderId="0" fillId="9" fontId="13" numFmtId="0" xfId="0" applyAlignment="1" applyFill="1" applyFont="1">
      <alignment horizontal="center"/>
    </xf>
    <xf borderId="0" fillId="0" fontId="3" numFmtId="172" xfId="0" applyAlignment="1" applyFont="1" applyNumberFormat="1">
      <alignment horizontal="center"/>
    </xf>
    <xf borderId="0" fillId="9" fontId="14" numFmtId="0" xfId="0" applyAlignment="1" applyFill="1" applyFont="1">
      <alignment horizontal="center" readingOrder="0"/>
    </xf>
    <xf borderId="0" fillId="9" fontId="15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2" xfId="0" applyAlignment="1" applyFont="1" applyNumberFormat="1">
      <alignment horizontal="center"/>
    </xf>
    <xf borderId="0" fillId="9" fontId="13" numFmtId="0" xfId="0" applyAlignment="1" applyFill="1" applyFont="1">
      <alignment horizont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D99594"/>
          <bgColor rgb="FFD99594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  <tableStyles count="1">
    <tableStyle count="2" pivot="0" name="תוצאות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:D2" displayName="Table_1" name="Table_1" id="1">
  <tableColumns count="1">
    <tableColumn name="Column1" id="1"/>
  </tableColumns>
  <tableStyleInfo name="תוצאו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.0"/>
    <col customWidth="1" min="2" max="2" width="16.0"/>
    <col customWidth="1" min="3" max="3" width="18.63"/>
    <col customWidth="1" min="4" max="4" width="9.63"/>
    <col customWidth="1" hidden="1" min="5" max="5" width="8.13"/>
    <col customWidth="1" min="6" max="6" width="8.63"/>
    <col customWidth="1" hidden="1" min="7" max="7" width="5.0"/>
    <col customWidth="1" hidden="1" min="8" max="8" width="10.88"/>
    <col customWidth="1" min="9" max="9" width="12.75"/>
    <col customWidth="1" min="10" max="10" width="9.13"/>
    <col customWidth="1" hidden="1" min="11" max="11" width="9.13"/>
    <col customWidth="1" min="12" max="12" width="9.13"/>
    <col customWidth="1" min="13" max="13" width="15.25"/>
    <col customWidth="1" min="14" max="14" width="7.63"/>
    <col customWidth="1" min="15" max="15" width="8.13"/>
    <col customWidth="1" min="16" max="16" width="9.13"/>
    <col customWidth="1" min="17" max="17" width="19.63"/>
    <col customWidth="1" min="18" max="18" width="9.13"/>
    <col customWidth="1" min="19" max="19" width="14.13"/>
    <col customWidth="1" min="20" max="20" width="14.25"/>
    <col customWidth="1" min="21" max="21" width="9.13"/>
    <col customWidth="1" min="22" max="22" width="10.13"/>
    <col customWidth="1" min="23" max="27" width="9.13"/>
    <col customWidth="1" hidden="1" min="28" max="28" width="9.13"/>
    <col customWidth="1" min="29" max="33" width="9.13"/>
  </cols>
  <sheetData>
    <row r="1" ht="14.25" customHeight="1">
      <c r="A1" s="1"/>
      <c r="B1" s="1" t="s">
        <v>0</v>
      </c>
      <c r="C1" s="1" t="s">
        <v>1</v>
      </c>
      <c r="D1" s="2" t="s">
        <v>2</v>
      </c>
      <c r="E1" s="3" t="s">
        <v>3</v>
      </c>
      <c r="F1" s="4"/>
      <c r="G1" s="3" t="s">
        <v>4</v>
      </c>
      <c r="H1" s="1" t="s">
        <v>5</v>
      </c>
      <c r="I1" s="1" t="s">
        <v>6</v>
      </c>
      <c r="K1" s="1"/>
      <c r="L1" s="5"/>
      <c r="M1" s="6" t="s">
        <v>7</v>
      </c>
      <c r="N1" s="7">
        <f>W6</f>
        <v>1.006284445</v>
      </c>
      <c r="O1" s="6" t="s">
        <v>8</v>
      </c>
      <c r="P1" s="6" t="s">
        <v>9</v>
      </c>
      <c r="R1" s="1" t="s">
        <v>10</v>
      </c>
      <c r="V1" s="1" t="s">
        <v>11</v>
      </c>
      <c r="W1" s="8">
        <v>6788804.0</v>
      </c>
      <c r="Z1" s="5"/>
      <c r="AA1" s="5"/>
      <c r="AB1" s="1" t="s">
        <v>12</v>
      </c>
      <c r="AC1" s="5"/>
      <c r="AD1" s="5"/>
      <c r="AE1" s="5"/>
      <c r="AF1" s="5"/>
      <c r="AG1" s="5"/>
    </row>
    <row r="2" ht="14.25" customHeight="1">
      <c r="A2" s="5"/>
      <c r="B2" s="4" t="str">
        <f>IF(N17&gt;60, "דיקטטורה", "עם ישראל חי")</f>
        <v>דיקטטורה</v>
      </c>
      <c r="C2" s="8">
        <f>SUM(C3:C42)</f>
        <v>4763694</v>
      </c>
      <c r="D2" s="9">
        <f>'נוסחאות'!K2</f>
        <v>36213.65833</v>
      </c>
      <c r="E2" s="5">
        <f>SUM(E3:E42)</f>
        <v>7</v>
      </c>
      <c r="F2" s="4"/>
      <c r="G2" s="5"/>
      <c r="H2" s="10"/>
      <c r="I2" s="10"/>
      <c r="K2" s="1"/>
      <c r="L2" s="5"/>
      <c r="M2" s="11" t="s">
        <v>13</v>
      </c>
      <c r="N2" s="11" t="s">
        <v>14</v>
      </c>
      <c r="O2" s="11" t="s">
        <v>3</v>
      </c>
      <c r="P2" s="12">
        <f>'נתונים'!G3</f>
        <v>0.7145833333</v>
      </c>
      <c r="R2" s="13">
        <v>1.0</v>
      </c>
      <c r="S2" s="5" t="str">
        <f>VLOOKUP(R2, 'נוסחאות'!$BE$49:$BI$67, 2, 0)</f>
        <v>ש"ס-יהדות התורה</v>
      </c>
      <c r="T2" s="5" t="str">
        <f>VLOOKUP(R2, 'נוסחאות'!$BE$49:$BI$67, 5, 0)</f>
        <v>שס</v>
      </c>
      <c r="V2" s="1" t="s">
        <v>15</v>
      </c>
      <c r="W2" s="14">
        <v>0.7017</v>
      </c>
      <c r="Y2" s="5"/>
      <c r="Z2" s="5"/>
      <c r="AA2" s="5"/>
      <c r="AB2" s="1" t="s">
        <v>16</v>
      </c>
      <c r="AC2" s="5"/>
      <c r="AD2" s="5"/>
      <c r="AE2" s="5"/>
      <c r="AF2" s="5"/>
      <c r="AG2" s="5"/>
    </row>
    <row r="3" ht="14.25" customHeight="1">
      <c r="A3" s="1" t="s">
        <v>17</v>
      </c>
      <c r="B3" s="15" t="s">
        <v>18</v>
      </c>
      <c r="C3" s="16">
        <f>VLOOKUP($A3,'נתונים'!$B$1:$D$50,3,0)</f>
        <v>1115049</v>
      </c>
      <c r="D3" s="17">
        <f>'נוסחאות'!D3</f>
        <v>32</v>
      </c>
      <c r="E3" s="17">
        <f>IF(D3=0, "", 'נוסחאות'!F3)</f>
        <v>2</v>
      </c>
      <c r="F3" s="18">
        <f t="shared" ref="F3:F42" si="1">C3/$C$2</f>
        <v>0.2340723397</v>
      </c>
      <c r="G3" s="5" t="str">
        <f>IF((C3/(SUM($C$3:C$42))&gt;='נוסחאות'!$L$2), "כן", "לא")</f>
        <v>כן</v>
      </c>
      <c r="H3" s="1" t="str">
        <f t="shared" ref="H3:H42" si="2">IF(C3&gt;0.0335*$W$3, "בטוח", "")</f>
        <v>בטוח</v>
      </c>
      <c r="I3" s="19">
        <f>IF(D3&gt;0, 1-('נוסחאות'!H3-(ROUNDDOWN('נוסחאות'!H3,0))), "")</f>
        <v>0.2091588832</v>
      </c>
      <c r="J3" s="1"/>
      <c r="K3" s="1"/>
      <c r="L3" s="13">
        <v>1.0</v>
      </c>
      <c r="M3" s="20" t="str">
        <f>VLOOKUP(L3, abc!$A$2:abc!$F$16, 3, false)</f>
        <v>הליכוד</v>
      </c>
      <c r="N3" s="17">
        <f>VLOOKUP(L3, abc!$A$2:abc!$F$16, 5, false)</f>
        <v>32</v>
      </c>
      <c r="O3" s="5">
        <f>VLOOKUP(L3, abc!$A$2:abc!$F$16, 6, false)</f>
        <v>2</v>
      </c>
      <c r="P3" s="5"/>
      <c r="R3" s="13">
        <v>2.0</v>
      </c>
      <c r="S3" s="5" t="str">
        <f>VLOOKUP(R3, 'נוסחאות'!$BE$49:$BI$67, 2, 0)</f>
        <v>יש עתיד-המחנה הממלכתי</v>
      </c>
      <c r="T3" s="5" t="str">
        <f>VLOOKUP(R3, 'נוסחאות'!$BE$49:$BI$67, 5, 0)</f>
        <v>כן</v>
      </c>
      <c r="V3" s="1" t="s">
        <v>19</v>
      </c>
      <c r="W3" s="8">
        <f>W1*W2</f>
        <v>4763703.767</v>
      </c>
      <c r="X3" s="1"/>
      <c r="Y3" s="21"/>
      <c r="Z3" s="5"/>
      <c r="AA3" s="5"/>
      <c r="AB3" s="5"/>
      <c r="AC3" s="5"/>
      <c r="AD3" s="5"/>
      <c r="AE3" s="5"/>
      <c r="AF3" s="5"/>
      <c r="AG3" s="5"/>
    </row>
    <row r="4" ht="14.25" customHeight="1">
      <c r="A4" s="1" t="s">
        <v>20</v>
      </c>
      <c r="B4" s="15" t="s">
        <v>21</v>
      </c>
      <c r="C4" s="16">
        <f>VLOOKUP($A4,'נתונים'!$B$1:$D$50,3,0)</f>
        <v>847145</v>
      </c>
      <c r="D4" s="17">
        <f>'נוסחאות'!D4</f>
        <v>24</v>
      </c>
      <c r="E4" s="17">
        <f>IF(D4=0, "", 'נוסחאות'!F4)</f>
        <v>1</v>
      </c>
      <c r="F4" s="18">
        <f t="shared" si="1"/>
        <v>0.1778336308</v>
      </c>
      <c r="G4" s="5" t="str">
        <f>IF((C4/(SUM($C$3:C$42))&gt;='נוסחאות'!$L$2), "כן", "לא")</f>
        <v>כן</v>
      </c>
      <c r="H4" s="1" t="str">
        <f t="shared" si="2"/>
        <v>בטוח</v>
      </c>
      <c r="I4" s="19">
        <f>IF(D4&gt;0, 1-('נוסחאות'!H4-(ROUNDDOWN('נוסחאות'!H4,0))), "")</f>
        <v>0.6070306346</v>
      </c>
      <c r="J4" s="1"/>
      <c r="K4" s="1"/>
      <c r="L4" s="13">
        <v>2.0</v>
      </c>
      <c r="M4" s="20" t="str">
        <f>VLOOKUP(L4, abc!$A$2:abc!$F$16, 3, false)</f>
        <v>יש עתיד</v>
      </c>
      <c r="N4" s="17">
        <f>VLOOKUP(L4, abc!$A$2:abc!$F$16, 5, false)</f>
        <v>24</v>
      </c>
      <c r="O4" s="5">
        <f>VLOOKUP(L4, abc!$A$2:abc!$F$16, 6, false)</f>
        <v>1</v>
      </c>
      <c r="P4" s="5"/>
      <c r="R4" s="22">
        <v>3.0</v>
      </c>
      <c r="S4" s="5" t="str">
        <f>VLOOKUP(R4, 'נוסחאות'!$BE$49:$BI$67, 2, 0)</f>
        <v>ליכוד-ציונות דתית</v>
      </c>
      <c r="T4" s="5" t="str">
        <f>VLOOKUP(R4, 'נוסחאות'!$BE$49:$BI$67, 5, 0)</f>
        <v>מחל</v>
      </c>
      <c r="V4" s="23" t="s">
        <v>22</v>
      </c>
      <c r="W4" s="24">
        <f>'נתונים'!G1</f>
        <v>4793641</v>
      </c>
      <c r="X4" s="5"/>
      <c r="Y4" s="5"/>
      <c r="Z4" s="5"/>
      <c r="AA4" s="5"/>
      <c r="AB4" s="5"/>
      <c r="AC4" s="5"/>
      <c r="AD4" s="5"/>
      <c r="AE4" s="5"/>
      <c r="AF4" s="5"/>
      <c r="AG4" s="5"/>
    </row>
    <row r="5" ht="14.25" customHeight="1">
      <c r="A5" s="1" t="s">
        <v>23</v>
      </c>
      <c r="B5" s="15" t="s">
        <v>24</v>
      </c>
      <c r="C5" s="16">
        <f>VLOOKUP($A5,'נתונים'!$B$1:$D$50,3,0)</f>
        <v>516146</v>
      </c>
      <c r="D5" s="17">
        <f>'נוסחאות'!D5</f>
        <v>14</v>
      </c>
      <c r="E5" s="17">
        <f>IF(D5=0, "", 'נוסחאות'!F5)</f>
        <v>0</v>
      </c>
      <c r="F5" s="18">
        <f t="shared" si="1"/>
        <v>0.1083499486</v>
      </c>
      <c r="G5" s="5" t="str">
        <f>IF((C5/(SUM($C$3:C$42))&gt;='נוסחאות'!$L$2), "כן", "לא")</f>
        <v>כן</v>
      </c>
      <c r="H5" s="1" t="str">
        <f t="shared" si="2"/>
        <v>בטוח</v>
      </c>
      <c r="I5" s="19">
        <f>IF(D5&gt;0, 1-('נוסחאות'!H5-(ROUNDDOWN('נוסחאות'!H5,0))), "")</f>
        <v>0.7472008144</v>
      </c>
      <c r="J5" s="1"/>
      <c r="K5" s="1"/>
      <c r="L5" s="13">
        <v>3.0</v>
      </c>
      <c r="M5" s="20" t="str">
        <f>VLOOKUP(L5, abc!$A$2:abc!$F$16, 3, false)</f>
        <v>הציונות הדתית</v>
      </c>
      <c r="N5" s="17">
        <f>VLOOKUP(L5, abc!$A$2:abc!$F$16, 5, false)</f>
        <v>14</v>
      </c>
      <c r="O5" s="5">
        <f>VLOOKUP(L5, abc!$A$2:abc!$F$16, 6, false)</f>
        <v>0</v>
      </c>
      <c r="P5" s="5"/>
      <c r="R5" s="22">
        <v>4.0</v>
      </c>
      <c r="S5" s="5" t="str">
        <f>VLOOKUP(R5, 'נוסחאות'!$BE$49:$BI$67, 2, 0)</f>
        <v>חד"ש-תע"ל</v>
      </c>
      <c r="T5" s="5" t="str">
        <f>VLOOKUP(R5, 'נוסחאות'!$BE$49:$BI$67, 5, 0)</f>
        <v>ום</v>
      </c>
      <c r="V5" s="25" t="s">
        <v>25</v>
      </c>
      <c r="W5" s="24">
        <f>'נתונים'!G2</f>
        <v>29947</v>
      </c>
      <c r="X5" s="5"/>
      <c r="Y5" s="5"/>
      <c r="Z5" s="5"/>
      <c r="AA5" s="5"/>
      <c r="AB5" s="5"/>
      <c r="AC5" s="5"/>
      <c r="AD5" s="5"/>
      <c r="AE5" s="5"/>
      <c r="AF5" s="5"/>
      <c r="AG5" s="5"/>
    </row>
    <row r="6" ht="14.25" customHeight="1">
      <c r="A6" s="1" t="s">
        <v>12</v>
      </c>
      <c r="B6" s="15" t="s">
        <v>26</v>
      </c>
      <c r="C6" s="16">
        <f>VLOOKUP($A6,'נתונים'!$B$1:$D$50,3,0)</f>
        <v>432376</v>
      </c>
      <c r="D6" s="17">
        <f>'נוסחאות'!D6</f>
        <v>12</v>
      </c>
      <c r="E6" s="17">
        <f>IF(D6=0, "", 'נוסחאות'!F6)</f>
        <v>1</v>
      </c>
      <c r="F6" s="18">
        <f t="shared" si="1"/>
        <v>0.09076485601</v>
      </c>
      <c r="G6" s="5" t="str">
        <f>IF((C6/(SUM($C$3:C$42))&gt;='נוסחאות'!$L$2), "כן", "לא")</f>
        <v>כן</v>
      </c>
      <c r="H6" s="1" t="str">
        <f t="shared" si="2"/>
        <v>בטוח</v>
      </c>
      <c r="I6" s="19">
        <f>IF(D6&gt;0, 1-('נוסחאות'!H6-(ROUNDDOWN('נוסחאות'!H6,0))), "")</f>
        <v>0.06041643128</v>
      </c>
      <c r="J6" s="1"/>
      <c r="K6" s="1"/>
      <c r="L6" s="13">
        <v>4.0</v>
      </c>
      <c r="M6" s="20" t="str">
        <f>VLOOKUP(L6, abc!$A$2:abc!$F$16, 3, false)</f>
        <v>המחנה הממלכתי</v>
      </c>
      <c r="N6" s="17">
        <f>VLOOKUP(L6, abc!$A$2:abc!$F$16, 5, false)</f>
        <v>12</v>
      </c>
      <c r="O6" s="5">
        <f>VLOOKUP(L6, abc!$A$2:abc!$F$16, 6, false)</f>
        <v>1</v>
      </c>
      <c r="P6" s="5"/>
      <c r="R6" s="22">
        <v>5.0</v>
      </c>
      <c r="S6" s="5" t="str">
        <f>VLOOKUP(R6, 'נוסחאות'!$BE$49:$BI$67, 2, 0)</f>
        <v>ישראל ביתנו</v>
      </c>
      <c r="T6" s="5" t="str">
        <f>VLOOKUP(R6, 'נוסחאות'!$BE$49:$BI$67, 5, 0)</f>
        <v>ל</v>
      </c>
      <c r="V6" s="1" t="s">
        <v>27</v>
      </c>
      <c r="W6" s="26">
        <f>W4/W3</f>
        <v>1.006284445</v>
      </c>
      <c r="X6" s="27"/>
      <c r="Y6" s="28"/>
      <c r="Z6" s="5"/>
      <c r="AA6" s="5"/>
      <c r="AB6" s="5"/>
      <c r="AC6" s="5"/>
      <c r="AD6" s="5"/>
      <c r="AE6" s="5"/>
      <c r="AF6" s="5"/>
      <c r="AG6" s="5"/>
    </row>
    <row r="7" ht="14.25" customHeight="1">
      <c r="A7" s="1" t="s">
        <v>28</v>
      </c>
      <c r="B7" s="15" t="s">
        <v>29</v>
      </c>
      <c r="C7" s="16">
        <f>VLOOKUP($A7,'נתונים'!$B$1:$D$50,3,0)</f>
        <v>392644</v>
      </c>
      <c r="D7" s="17">
        <f>'נוסחאות'!D7</f>
        <v>11</v>
      </c>
      <c r="E7" s="17">
        <f>IF(D7=0, "", 'נוסחאות'!F7)</f>
        <v>1</v>
      </c>
      <c r="F7" s="18">
        <f t="shared" si="1"/>
        <v>0.0824242699</v>
      </c>
      <c r="G7" s="5" t="str">
        <f>IF((C7/(SUM($C$3:C$42))&gt;='נוסחאות'!$L$2), "כן", "לא")</f>
        <v>כן</v>
      </c>
      <c r="H7" s="1" t="str">
        <f t="shared" si="2"/>
        <v>בטוח</v>
      </c>
      <c r="I7" s="19">
        <f>IF(D7&gt;0, 1-('נוסחאות'!H7-(ROUNDDOWN('נוסחאות'!H7,0))), "")</f>
        <v>0.1575715332</v>
      </c>
      <c r="J7" s="29"/>
      <c r="K7" s="29"/>
      <c r="L7" s="13">
        <v>5.0</v>
      </c>
      <c r="M7" s="20" t="str">
        <f>VLOOKUP(L7, abc!$A$2:abc!$F$16, 3, false)</f>
        <v>ש"ס</v>
      </c>
      <c r="N7" s="17">
        <f>VLOOKUP(L7, abc!$A$2:abc!$F$16, 5, false)</f>
        <v>11</v>
      </c>
      <c r="O7" s="5">
        <f>VLOOKUP(L7, abc!$A$2:abc!$F$16, 6, false)</f>
        <v>1</v>
      </c>
      <c r="P7" s="5"/>
      <c r="R7" s="22">
        <v>6.0</v>
      </c>
      <c r="S7" s="5" t="str">
        <f>VLOOKUP(R7, 'נוסחאות'!$BE$49:$BI$67, 2, 0)</f>
        <v>יש עתיד-המחנה הממלכתי</v>
      </c>
      <c r="T7" s="5" t="str">
        <f>VLOOKUP(R7, 'נוסחאות'!$BE$49:$BI$67, 5, 0)</f>
        <v>פה</v>
      </c>
      <c r="W7" s="1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14.25" customHeight="1">
      <c r="A8" s="1" t="s">
        <v>30</v>
      </c>
      <c r="B8" s="15" t="s">
        <v>31</v>
      </c>
      <c r="C8" s="16">
        <f>VLOOKUP($A8,'נתונים'!$B$1:$D$50,3,0)</f>
        <v>280125</v>
      </c>
      <c r="D8" s="17">
        <f>'נוסחאות'!D8</f>
        <v>7</v>
      </c>
      <c r="E8" s="17">
        <f>IF(D8=0, "", 'נוסחאות'!F8)</f>
        <v>0</v>
      </c>
      <c r="F8" s="18">
        <f t="shared" si="1"/>
        <v>0.05880415493</v>
      </c>
      <c r="G8" s="5" t="str">
        <f>IF((C8/(SUM($C$3:C$42))&gt;='נוסחאות'!$L$2), "כן", "לא")</f>
        <v>כן</v>
      </c>
      <c r="H8" s="1" t="str">
        <f t="shared" si="2"/>
        <v>בטוח</v>
      </c>
      <c r="I8" s="19">
        <f>IF(D8&gt;0, 1-('נוסחאות'!H8-(ROUNDDOWN('נוסחאות'!H8,0))), "")</f>
        <v>0.2646588914</v>
      </c>
      <c r="J8" s="29"/>
      <c r="K8" s="29"/>
      <c r="L8" s="13">
        <v>6.0</v>
      </c>
      <c r="M8" s="20" t="str">
        <f>VLOOKUP(L8, abc!$A$2:abc!$F$16, 3, false)</f>
        <v>יהדות התורה</v>
      </c>
      <c r="N8" s="17">
        <f>VLOOKUP(L8, abc!$A$2:abc!$F$16, 5, false)</f>
        <v>7</v>
      </c>
      <c r="O8" s="5">
        <f>VLOOKUP(L8, abc!$A$2:abc!$F$16, 6, false)</f>
        <v>0</v>
      </c>
      <c r="P8" s="5"/>
      <c r="R8" s="22">
        <v>7.0</v>
      </c>
      <c r="S8" s="5" t="str">
        <f>VLOOKUP(R8, 'נוסחאות'!$BE$49:$BI$67, 2, 0)</f>
        <v>ליכוד-ציונות דתית</v>
      </c>
      <c r="T8" s="5" t="str">
        <f>VLOOKUP(R8, 'נוסחאות'!$BE$49:$BI$67, 5, 0)</f>
        <v>מחל</v>
      </c>
      <c r="V8" s="1" t="s">
        <v>32</v>
      </c>
      <c r="W8" s="8">
        <f>SUMIF(G:G, "לא", C:C)</f>
        <v>418055</v>
      </c>
      <c r="X8" s="5"/>
      <c r="Y8" s="5"/>
      <c r="Z8" s="5"/>
      <c r="AA8" s="5"/>
      <c r="AB8" s="5"/>
      <c r="AC8" s="5"/>
      <c r="AD8" s="5"/>
      <c r="AE8" s="5"/>
      <c r="AF8" s="5"/>
      <c r="AG8" s="5"/>
    </row>
    <row r="9" ht="14.25" customHeight="1">
      <c r="A9" s="1" t="s">
        <v>33</v>
      </c>
      <c r="B9" s="15" t="s">
        <v>34</v>
      </c>
      <c r="C9" s="16">
        <f>VLOOKUP($A9,'נתונים'!$B$1:$D$50,3,0)</f>
        <v>213655</v>
      </c>
      <c r="D9" s="17">
        <f>'נוסחאות'!D9</f>
        <v>6</v>
      </c>
      <c r="E9" s="17">
        <f>IF(D9=0, "", 'נוסחאות'!F9)</f>
        <v>1</v>
      </c>
      <c r="F9" s="18">
        <f t="shared" si="1"/>
        <v>0.0448506978</v>
      </c>
      <c r="G9" s="5" t="str">
        <f>IF((C9/(SUM($C$3:C$42))&gt;='נוסחאות'!$L$2), "כן", "לא")</f>
        <v>כן</v>
      </c>
      <c r="H9" s="1" t="str">
        <f t="shared" si="2"/>
        <v>בטוח</v>
      </c>
      <c r="I9" s="19">
        <f>IF(D9&gt;0, 1-('נוסחאות'!H9-(ROUNDDOWN('נוסחאות'!H9,0))), "")</f>
        <v>0.1001542006</v>
      </c>
      <c r="J9" s="1"/>
      <c r="K9" s="1"/>
      <c r="L9" s="13">
        <v>7.0</v>
      </c>
      <c r="M9" s="20" t="str">
        <f>VLOOKUP(L9, abc!$A$2:abc!$F$16, 3, false)</f>
        <v>ישראל ביתנו</v>
      </c>
      <c r="N9" s="17">
        <f>VLOOKUP(L9, abc!$A$2:abc!$F$16, 5, false)</f>
        <v>6</v>
      </c>
      <c r="O9" s="5">
        <f>VLOOKUP(L9, abc!$A$2:abc!$F$16, 6, false)</f>
        <v>1</v>
      </c>
      <c r="P9" s="5"/>
      <c r="R9" s="22">
        <v>8.0</v>
      </c>
      <c r="S9" s="5" t="str">
        <f>VLOOKUP(R9, 'נוסחאות'!$BE$49:$BI$67, 2, 0)</f>
        <v>ש"ס-יהדות התורה</v>
      </c>
      <c r="T9" s="5" t="str">
        <f>VLOOKUP(R9, 'נוסחאות'!$BE$49:$BI$67, 5, 0)</f>
        <v>ג</v>
      </c>
      <c r="V9" s="1" t="s">
        <v>35</v>
      </c>
      <c r="W9" s="30">
        <f>W8/W3</f>
        <v>0.08775839567</v>
      </c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14.25" customHeight="1">
      <c r="A10" s="1" t="s">
        <v>36</v>
      </c>
      <c r="B10" s="15" t="s">
        <v>37</v>
      </c>
      <c r="C10" s="16">
        <f>VLOOKUP($A10,'נתונים'!$B$1:$D$50,3,0)</f>
        <v>175922</v>
      </c>
      <c r="D10" s="17">
        <f>'נוסחאות'!D10</f>
        <v>4</v>
      </c>
      <c r="E10" s="17">
        <f>IF(D10=0, "", 'נוסחאות'!F10)</f>
        <v>0</v>
      </c>
      <c r="F10" s="18">
        <f t="shared" si="1"/>
        <v>0.03692974402</v>
      </c>
      <c r="G10" s="5" t="str">
        <f>IF((C10/(SUM($C$3:C$42))&gt;='נוסחאות'!$L$2), "כן", "לא")</f>
        <v>כן</v>
      </c>
      <c r="H10" s="1" t="str">
        <f t="shared" si="2"/>
        <v>בטוח</v>
      </c>
      <c r="I10" s="19">
        <f>IF(D10&gt;0, 1-('נוסחאות'!H10-(ROUNDDOWN('נוסחאות'!H10,0))), "")</f>
        <v>0.1421091352</v>
      </c>
      <c r="J10" s="1"/>
      <c r="K10" s="1"/>
      <c r="L10" s="13">
        <v>8.0</v>
      </c>
      <c r="M10" s="20" t="str">
        <f>VLOOKUP(L10, abc!$A$2:abc!$F$16, 3, false)</f>
        <v>רע"ם</v>
      </c>
      <c r="N10" s="17">
        <f>VLOOKUP(L10, abc!$A$2:abc!$F$16, 5, false)</f>
        <v>5</v>
      </c>
      <c r="O10" s="5">
        <f>VLOOKUP(L10, abc!$A$2:abc!$F$16, 6, false)</f>
        <v>0</v>
      </c>
      <c r="P10" s="5"/>
      <c r="R10" s="22">
        <v>9.0</v>
      </c>
      <c r="S10" s="5" t="str">
        <f>VLOOKUP(R10, 'נוסחאות'!$BE$49:$BI$67, 2, 0)</f>
        <v>העבודה-מרצ</v>
      </c>
      <c r="T10" s="5" t="str">
        <f>VLOOKUP(R10, 'נוסחאות'!$BE$49:$BI$67, 5, 0)</f>
        <v>אמת</v>
      </c>
      <c r="V10" s="1" t="s">
        <v>38</v>
      </c>
      <c r="W10" s="31">
        <f>W8/D2</f>
        <v>11.54412504</v>
      </c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14.25" customHeight="1">
      <c r="A11" s="1" t="s">
        <v>39</v>
      </c>
      <c r="B11" s="15" t="s">
        <v>39</v>
      </c>
      <c r="C11" s="16">
        <f>VLOOKUP($A11,'נתונים'!$B$1:$D$50,3,0)</f>
        <v>150696</v>
      </c>
      <c r="D11" s="17">
        <f>'נוסחאות'!D11</f>
        <v>0</v>
      </c>
      <c r="E11" s="17" t="str">
        <f>IF(D11=0, "", 'נוסחאות'!F11)</f>
        <v/>
      </c>
      <c r="F11" s="18">
        <f t="shared" si="1"/>
        <v>0.03163427374</v>
      </c>
      <c r="G11" s="5" t="str">
        <f>IF((C11/(SUM($C$3:C$42))&gt;='נוסחאות'!$L$2), "כן", "לא")</f>
        <v>לא</v>
      </c>
      <c r="H11" s="1" t="str">
        <f t="shared" si="2"/>
        <v/>
      </c>
      <c r="I11" s="19" t="str">
        <f>IF(D11&gt;0, 1-('נוסחאות'!H11-(ROUNDDOWN('נוסחאות'!H11,0))), "")</f>
        <v/>
      </c>
      <c r="J11" s="1"/>
      <c r="K11" s="1"/>
      <c r="L11" s="13">
        <v>9.0</v>
      </c>
      <c r="M11" s="20" t="str">
        <f>VLOOKUP(L11, abc!$A$2:abc!$F$16, 3, false)</f>
        <v>חד"ש-תע"ל</v>
      </c>
      <c r="N11" s="17">
        <f>VLOOKUP(L11, abc!$A$2:abc!$F$16, 5, false)</f>
        <v>5</v>
      </c>
      <c r="O11" s="5">
        <f>VLOOKUP(L11, abc!$A$2:abc!$F$16, 6, false)</f>
        <v>1</v>
      </c>
      <c r="P11" s="5"/>
      <c r="R11" s="22">
        <v>10.0</v>
      </c>
      <c r="S11" s="5" t="str">
        <f>VLOOKUP(R11, 'נוסחאות'!$BE$49:$BI$67, 2, 0)</f>
        <v>ליכוד-ציונות דתית</v>
      </c>
      <c r="T11" s="5" t="str">
        <f>VLOOKUP(R11, 'נוסחאות'!$BE$49:$BI$67, 5, 0)</f>
        <v>ט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14.25" customHeight="1">
      <c r="A12" s="1" t="s">
        <v>40</v>
      </c>
      <c r="B12" s="1" t="s">
        <v>41</v>
      </c>
      <c r="C12" s="16">
        <f>VLOOKUP($A12,'נתונים'!$B$1:$D$50,3,0)</f>
        <v>178661</v>
      </c>
      <c r="D12" s="5">
        <f>'נוסחאות'!D12</f>
        <v>5</v>
      </c>
      <c r="E12" s="17">
        <f>IF(D12=0, "", 'נוסחאות'!F12)</f>
        <v>1</v>
      </c>
      <c r="F12" s="18">
        <f t="shared" si="1"/>
        <v>0.03750471798</v>
      </c>
      <c r="G12" s="5" t="str">
        <f>IF((C12/(SUM($C$3:C$42))&gt;='נוסחאות'!$L$2), "כן", "לא")</f>
        <v>כן</v>
      </c>
      <c r="H12" s="1" t="str">
        <f t="shared" si="2"/>
        <v>בטוח</v>
      </c>
      <c r="I12" s="19">
        <f>IF(D12&gt;0, 1-('נוסחאות'!H12-(ROUNDDOWN('נוסחאות'!H12,0))), "")</f>
        <v>0.06647468876</v>
      </c>
      <c r="J12" s="29"/>
      <c r="K12" s="29"/>
      <c r="L12" s="13">
        <v>10.0</v>
      </c>
      <c r="M12" s="20" t="str">
        <f>VLOOKUP(L12, abc!$A$2:abc!$F$16, 3, false)</f>
        <v>העבודה</v>
      </c>
      <c r="N12" s="32">
        <f>VLOOKUP(L12, abc!$A$2:abc!$F$16, 5, false)</f>
        <v>4</v>
      </c>
      <c r="O12" s="33">
        <f>VLOOKUP(L12, abc!$A$2:abc!$F$16, 6, false)</f>
        <v>0</v>
      </c>
      <c r="P12" s="5"/>
      <c r="S12" s="5"/>
      <c r="V12" s="5"/>
      <c r="W12" s="1"/>
      <c r="X12" s="1"/>
      <c r="Y12" s="21"/>
      <c r="Z12" s="5"/>
      <c r="AA12" s="5"/>
      <c r="AB12" s="5"/>
      <c r="AC12" s="5"/>
      <c r="AD12" s="5"/>
      <c r="AE12" s="5"/>
      <c r="AF12" s="5"/>
      <c r="AG12" s="5"/>
    </row>
    <row r="13" ht="14.25" customHeight="1">
      <c r="A13" s="1" t="s">
        <v>42</v>
      </c>
      <c r="B13" s="1" t="s">
        <v>43</v>
      </c>
      <c r="C13" s="16">
        <f>VLOOKUP($A13,'נתונים'!$B$1:$D$50,3,0)</f>
        <v>193916</v>
      </c>
      <c r="D13" s="5">
        <f>'נוסחאות'!D13</f>
        <v>5</v>
      </c>
      <c r="E13" s="17">
        <f>IF(D13=0, "", 'נוסחאות'!F13)</f>
        <v>0</v>
      </c>
      <c r="F13" s="18">
        <f t="shared" si="1"/>
        <v>0.04070706473</v>
      </c>
      <c r="G13" s="5" t="str">
        <f>IF((C13/(SUM($C$3:C$42))&gt;='נוסחאות'!$L$2), "כן", "לא")</f>
        <v>כן</v>
      </c>
      <c r="H13" s="1" t="str">
        <f t="shared" si="2"/>
        <v>בטוח</v>
      </c>
      <c r="I13" s="19">
        <f>IF(D13&gt;0, 1-('נוסחאות'!H13-(ROUNDDOWN('נוסחאות'!H13,0))), "")</f>
        <v>0.6452247874</v>
      </c>
      <c r="J13" s="29"/>
      <c r="K13" s="29"/>
      <c r="L13" s="13">
        <v>11.0</v>
      </c>
      <c r="M13" s="20" t="str">
        <f>VLOOKUP(L13, abc!$A$2:abc!$F$16, 3, false)</f>
        <v>מרצ</v>
      </c>
      <c r="N13" s="32">
        <f>VLOOKUP(L13, abc!$A$2:abc!$F$16, 5, false)</f>
        <v>0</v>
      </c>
      <c r="O13" s="33">
        <f>VLOOKUP(L13, abc!$A$2:abc!$F$16, 6, false)</f>
        <v>0</v>
      </c>
      <c r="P13" s="5"/>
      <c r="W13" s="1"/>
      <c r="X13" s="34"/>
      <c r="Y13" s="5"/>
      <c r="Z13" s="5"/>
      <c r="AA13" s="5"/>
      <c r="AB13" s="5"/>
      <c r="AC13" s="5"/>
      <c r="AD13" s="5"/>
      <c r="AE13" s="5"/>
      <c r="AF13" s="5"/>
      <c r="AG13" s="5"/>
    </row>
    <row r="14" ht="14.25" customHeight="1">
      <c r="A14" s="1" t="s">
        <v>44</v>
      </c>
      <c r="B14" s="1" t="s">
        <v>45</v>
      </c>
      <c r="C14" s="16">
        <f>VLOOKUP($A14,'נתונים'!$B$1:$D$50,3,0)</f>
        <v>138093</v>
      </c>
      <c r="D14" s="5">
        <f>'נוסחאות'!D14</f>
        <v>0</v>
      </c>
      <c r="E14" s="17" t="str">
        <f>IF(D14=0, "", 'נוסחאות'!F14)</f>
        <v/>
      </c>
      <c r="F14" s="18">
        <f t="shared" si="1"/>
        <v>0.02898863781</v>
      </c>
      <c r="G14" s="5" t="str">
        <f>IF((C14/(SUM($C$3:C$42))&gt;='נוסחאות'!$L$2), "כן", "לא")</f>
        <v>לא</v>
      </c>
      <c r="H14" s="1" t="str">
        <f t="shared" si="2"/>
        <v/>
      </c>
      <c r="I14" s="19" t="str">
        <f>IF(D14&gt;0, 1-('נוסחאות'!H14-(ROUNDDOWN('נוסחאות'!H14,0))), "")</f>
        <v/>
      </c>
      <c r="J14" s="29"/>
      <c r="K14" s="29"/>
      <c r="L14" s="13">
        <v>12.0</v>
      </c>
      <c r="M14" s="20" t="str">
        <f>iferror(VLOOKUP(L14, abc!$A$2:abc!$F$16, 3, false), "")</f>
        <v>בל"ד</v>
      </c>
      <c r="N14" s="32">
        <f>VLOOKUP(L14, abc!$A$2:abc!$F$16, 5, false)</f>
        <v>0</v>
      </c>
      <c r="O14" s="33">
        <f>VLOOKUP(L14, abc!$A$2:abc!$F$16, 6, false)</f>
        <v>0</v>
      </c>
      <c r="P14" s="5"/>
      <c r="W14" s="1"/>
      <c r="X14" s="1"/>
      <c r="Y14" s="5"/>
      <c r="Z14" s="5"/>
      <c r="AA14" s="5"/>
      <c r="AB14" s="5"/>
      <c r="AC14" s="5"/>
      <c r="AD14" s="5"/>
      <c r="AE14" s="5"/>
      <c r="AF14" s="5"/>
      <c r="AG14" s="5"/>
    </row>
    <row r="15" ht="14.25" customHeight="1">
      <c r="A15" s="1" t="s">
        <v>46</v>
      </c>
      <c r="B15" s="1" t="s">
        <v>47</v>
      </c>
      <c r="C15" s="16">
        <f>VLOOKUP($A15,'נתונים'!$B$1:$D$50,3,0)</f>
        <v>56793</v>
      </c>
      <c r="D15" s="5">
        <f>'נוסחאות'!D15</f>
        <v>0</v>
      </c>
      <c r="E15" s="17" t="str">
        <f>IF(D15=0, "", 'נוסחאות'!F15)</f>
        <v/>
      </c>
      <c r="F15" s="18">
        <f t="shared" si="1"/>
        <v>0.01192205041</v>
      </c>
      <c r="G15" s="5" t="str">
        <f>IF((C15/(SUM($C$3:C$42))&gt;='נוסחאות'!$L$2), "כן", "לא")</f>
        <v>לא</v>
      </c>
      <c r="H15" s="1" t="str">
        <f t="shared" si="2"/>
        <v/>
      </c>
      <c r="I15" s="19" t="str">
        <f>IF(D15&gt;0, 1-('נוסחאות'!H15-(ROUNDDOWN('נוסחאות'!H15,0))), "")</f>
        <v/>
      </c>
      <c r="J15" s="29"/>
      <c r="K15" s="29"/>
      <c r="L15" s="13">
        <v>13.0</v>
      </c>
      <c r="M15" s="20" t="str">
        <f>VLOOKUP(L15, abc!$A$2:abc!$F$16, 3, false)</f>
        <v>הבית היהודי</v>
      </c>
      <c r="N15" s="35">
        <f>VLOOKUP(L15, abc!$A$2:abc!$F$16, 5, false)</f>
        <v>0</v>
      </c>
      <c r="O15" s="36">
        <f>VLOOKUP(L15, abc!$A$2:abc!$F$16, 6, false)</f>
        <v>0</v>
      </c>
      <c r="P15" s="5"/>
      <c r="W15" s="5"/>
      <c r="X15" s="1"/>
      <c r="Y15" s="5"/>
      <c r="Z15" s="5"/>
      <c r="AA15" s="5"/>
      <c r="AB15" s="5"/>
      <c r="AC15" s="5"/>
      <c r="AD15" s="5"/>
      <c r="AE15" s="5"/>
      <c r="AF15" s="5"/>
      <c r="AG15" s="5"/>
    </row>
    <row r="16" ht="14.25" customHeight="1">
      <c r="A16" s="1" t="s">
        <v>48</v>
      </c>
      <c r="B16" s="1" t="s">
        <v>49</v>
      </c>
      <c r="C16" s="16">
        <f>VLOOKUP($A16,'נתונים'!$B$1:$D$50,3,0)</f>
        <v>13911</v>
      </c>
      <c r="D16" s="5">
        <f>'נוסחאות'!D16</f>
        <v>0</v>
      </c>
      <c r="E16" s="17" t="str">
        <f>IF(D16=0, "", 'נוסחאות'!F16)</f>
        <v/>
      </c>
      <c r="F16" s="18">
        <f t="shared" si="1"/>
        <v>0.002920212759</v>
      </c>
      <c r="G16" s="5" t="str">
        <f>IF((C16/(SUM($C$3:C$42))&gt;='נוסחאות'!$L$2), "כן", "לא")</f>
        <v>לא</v>
      </c>
      <c r="H16" s="1" t="str">
        <f t="shared" si="2"/>
        <v/>
      </c>
      <c r="I16" s="37" t="str">
        <f>IF(D16&gt;0, 1-('נוסחאות'!H16-(ROUNDDOWN('נוסחאות'!H16,0))), "")</f>
        <v/>
      </c>
      <c r="J16" s="29"/>
      <c r="K16" s="29"/>
      <c r="P16" s="5"/>
      <c r="W16" s="5"/>
      <c r="X16" s="1"/>
      <c r="Y16" s="5"/>
      <c r="Z16" s="5"/>
      <c r="AA16" s="5"/>
      <c r="AB16" s="5"/>
      <c r="AC16" s="5"/>
      <c r="AD16" s="5"/>
      <c r="AE16" s="5"/>
      <c r="AF16" s="5"/>
      <c r="AG16" s="5"/>
    </row>
    <row r="17" ht="14.25" customHeight="1">
      <c r="A17" s="1" t="s">
        <v>50</v>
      </c>
      <c r="B17" s="1" t="s">
        <v>51</v>
      </c>
      <c r="C17" s="16">
        <f>VLOOKUP($A17,'נתונים'!$B$1:$D$50,3,0)</f>
        <v>1156</v>
      </c>
      <c r="D17" s="5">
        <f>'נוסחאות'!D17</f>
        <v>0</v>
      </c>
      <c r="E17" s="17" t="str">
        <f>IF(D17=0, "", 'נוסחאות'!F17)</f>
        <v/>
      </c>
      <c r="F17" s="18">
        <f t="shared" si="1"/>
        <v>0.0002426688196</v>
      </c>
      <c r="G17" s="5" t="str">
        <f>IF((C17/(SUM($C$3:C$42))&gt;='נוסחאות'!$L$2), "כן", "לא")</f>
        <v>לא</v>
      </c>
      <c r="H17" s="1" t="str">
        <f t="shared" si="2"/>
        <v/>
      </c>
      <c r="I17" s="37" t="str">
        <f>IF(D17&gt;0, 1-('נוסחאות'!H17-(ROUNDDOWN('נוסחאות'!H17,0))), "")</f>
        <v/>
      </c>
      <c r="J17" s="10"/>
      <c r="K17" s="10"/>
      <c r="L17" s="38" t="s">
        <v>52</v>
      </c>
      <c r="N17" s="38">
        <f>D3+D5+D7+D8</f>
        <v>64</v>
      </c>
      <c r="P17" s="5"/>
      <c r="W17" s="5"/>
      <c r="X17" s="13"/>
      <c r="Y17" s="13"/>
      <c r="AC17" s="5"/>
      <c r="AD17" s="5"/>
      <c r="AE17" s="5"/>
      <c r="AF17" s="5"/>
      <c r="AG17" s="5"/>
    </row>
    <row r="18" ht="14.25" customHeight="1">
      <c r="A18" s="1" t="s">
        <v>53</v>
      </c>
      <c r="B18" s="1" t="s">
        <v>54</v>
      </c>
      <c r="C18" s="16">
        <f>VLOOKUP($A18,'נתונים'!$B$1:$D$50,3,0)</f>
        <v>8794</v>
      </c>
      <c r="D18" s="5">
        <f>'נוסחאות'!D18</f>
        <v>0</v>
      </c>
      <c r="E18" s="17" t="str">
        <f>IF(D18=0, "", 'נוסחאות'!F18)</f>
        <v/>
      </c>
      <c r="F18" s="18">
        <f t="shared" si="1"/>
        <v>0.001846046367</v>
      </c>
      <c r="G18" s="5" t="str">
        <f>IF((C18/(SUM($C$3:C$42))&gt;='נוסחאות'!$L$2), "כן", "לא")</f>
        <v>לא</v>
      </c>
      <c r="H18" s="1" t="str">
        <f t="shared" si="2"/>
        <v/>
      </c>
      <c r="I18" s="37" t="str">
        <f>IF(D18&gt;0, 1-('נוסחאות'!H18-(ROUNDDOWN('נוסחאות'!H18,0))), "")</f>
        <v/>
      </c>
      <c r="J18" s="10"/>
      <c r="L18" s="39" t="s">
        <v>55</v>
      </c>
      <c r="N18" s="39">
        <f>D4+D6+D9+D10+D11+D13</f>
        <v>51</v>
      </c>
      <c r="V18" s="40" t="s">
        <v>56</v>
      </c>
      <c r="W18" s="40">
        <f>SUMIF(X19:X29, "כן", W19:W29)+W30</f>
        <v>64</v>
      </c>
      <c r="X18" s="5"/>
      <c r="Z18" s="5"/>
      <c r="AA18" s="5"/>
      <c r="AB18" s="5"/>
      <c r="AC18" s="5"/>
      <c r="AD18" s="5"/>
      <c r="AE18" s="5"/>
      <c r="AF18" s="5"/>
      <c r="AG18" s="5"/>
    </row>
    <row r="19" ht="13.5" customHeight="1">
      <c r="A19" s="1" t="s">
        <v>57</v>
      </c>
      <c r="B19" s="1" t="s">
        <v>58</v>
      </c>
      <c r="C19" s="16">
        <f>VLOOKUP($A19,'נתונים'!$B$1:$D$50,3,0)</f>
        <v>15817</v>
      </c>
      <c r="D19" s="5">
        <f>'נוסחאות'!D19</f>
        <v>0</v>
      </c>
      <c r="E19" s="17" t="str">
        <f>IF(D19=0, "", 'נוסחאות'!F19)</f>
        <v/>
      </c>
      <c r="F19" s="18">
        <f t="shared" si="1"/>
        <v>0.003320322422</v>
      </c>
      <c r="G19" s="5" t="str">
        <f>IF((C19/(SUM($C$3:C$42))&gt;='נוסחאות'!$L$2), "כן", "לא")</f>
        <v>לא</v>
      </c>
      <c r="H19" s="1" t="str">
        <f t="shared" si="2"/>
        <v/>
      </c>
      <c r="I19" s="37"/>
      <c r="J19" s="10"/>
      <c r="L19" s="41" t="s">
        <v>59</v>
      </c>
      <c r="N19" s="41">
        <f>D3+D6+D7+D8</f>
        <v>62</v>
      </c>
      <c r="Q19" s="42" t="s">
        <v>60</v>
      </c>
      <c r="V19" s="4" t="str">
        <f t="shared" ref="V19:W19" si="3">M3</f>
        <v>הליכוד</v>
      </c>
      <c r="W19" s="43">
        <f t="shared" si="3"/>
        <v>32</v>
      </c>
      <c r="X19" s="44" t="s">
        <v>12</v>
      </c>
      <c r="Z19" s="5"/>
      <c r="AA19" s="5"/>
      <c r="AB19" s="5"/>
      <c r="AC19" s="5"/>
      <c r="AD19" s="5"/>
      <c r="AE19" s="5"/>
      <c r="AF19" s="5"/>
      <c r="AG19" s="5"/>
    </row>
    <row r="20" ht="13.5" customHeight="1">
      <c r="A20" s="1" t="s">
        <v>61</v>
      </c>
      <c r="B20" s="1" t="s">
        <v>62</v>
      </c>
      <c r="C20" s="16">
        <f>VLOOKUP($A20,'נתונים'!$B$1:$D$50,3,0)</f>
        <v>530</v>
      </c>
      <c r="D20" s="5">
        <f>'נוסחאות'!D20</f>
        <v>0</v>
      </c>
      <c r="E20" s="17" t="str">
        <f>IF(D20=0, "", 'נוסחאות'!F20)</f>
        <v/>
      </c>
      <c r="F20" s="18">
        <f t="shared" si="1"/>
        <v>0.0001112581958</v>
      </c>
      <c r="G20" s="5" t="str">
        <f>IF((C20/(SUM($C$3:C$42))&gt;='נוסחאות'!$L$2), "כן", "לא")</f>
        <v>לא</v>
      </c>
      <c r="H20" s="1" t="str">
        <f t="shared" si="2"/>
        <v/>
      </c>
      <c r="I20" s="37"/>
      <c r="J20" s="5"/>
      <c r="L20" s="45" t="s">
        <v>63</v>
      </c>
      <c r="N20" s="45">
        <f>N18+D12</f>
        <v>56</v>
      </c>
      <c r="Q20" s="42"/>
      <c r="R20" s="46">
        <v>12.0</v>
      </c>
      <c r="S20" s="47">
        <v>13.0</v>
      </c>
      <c r="T20" s="47">
        <v>11.0</v>
      </c>
      <c r="V20" s="4" t="str">
        <f t="shared" ref="V20:W20" si="4">M4</f>
        <v>יש עתיד</v>
      </c>
      <c r="W20" s="43">
        <f t="shared" si="4"/>
        <v>24</v>
      </c>
      <c r="X20" s="44" t="s">
        <v>16</v>
      </c>
      <c r="Z20" s="5"/>
      <c r="AA20" s="5"/>
      <c r="AB20" s="5"/>
      <c r="AC20" s="5"/>
      <c r="AD20" s="5"/>
      <c r="AE20" s="5"/>
      <c r="AF20" s="5"/>
      <c r="AG20" s="5"/>
    </row>
    <row r="21" ht="13.5" customHeight="1">
      <c r="A21" s="1" t="s">
        <v>64</v>
      </c>
      <c r="B21" s="1" t="s">
        <v>65</v>
      </c>
      <c r="C21" s="16">
        <f>VLOOKUP($A21,'נתונים'!$B$1:$D$50,3,0)</f>
        <v>205</v>
      </c>
      <c r="D21" s="5">
        <f>'נוסחאות'!D21</f>
        <v>0</v>
      </c>
      <c r="E21" s="17" t="str">
        <f>IF(D21=0, "", 'נוסחאות'!F21)</f>
        <v/>
      </c>
      <c r="F21" s="18">
        <f t="shared" si="1"/>
        <v>0.00004303383047</v>
      </c>
      <c r="G21" s="5" t="str">
        <f>IF((C21/(SUM($C$3:C$42))&gt;='נוסחאות'!$L$2), "כן", "לא")</f>
        <v>לא</v>
      </c>
      <c r="H21" s="1" t="str">
        <f t="shared" si="2"/>
        <v/>
      </c>
      <c r="I21" s="37"/>
      <c r="J21" s="5"/>
      <c r="Q21" s="38" t="s">
        <v>52</v>
      </c>
      <c r="R21" s="48">
        <f t="shared" ref="R21:T21" si="5">R24+R26+R28+R29</f>
        <v>62</v>
      </c>
      <c r="S21" s="48">
        <f t="shared" si="5"/>
        <v>62</v>
      </c>
      <c r="T21" s="48">
        <f t="shared" si="5"/>
        <v>62</v>
      </c>
      <c r="V21" s="4" t="str">
        <f t="shared" ref="V21:W21" si="6">M5</f>
        <v>הציונות הדתית</v>
      </c>
      <c r="W21" s="43">
        <f t="shared" si="6"/>
        <v>14</v>
      </c>
      <c r="X21" s="44" t="s">
        <v>12</v>
      </c>
      <c r="Z21" s="5"/>
      <c r="AA21" s="5"/>
      <c r="AB21" s="5"/>
      <c r="AC21" s="5"/>
      <c r="AD21" s="5"/>
      <c r="AE21" s="5"/>
      <c r="AF21" s="5"/>
      <c r="AG21" s="5"/>
    </row>
    <row r="22" ht="13.5" customHeight="1">
      <c r="A22" s="1" t="s">
        <v>66</v>
      </c>
      <c r="B22" s="1" t="s">
        <v>67</v>
      </c>
      <c r="C22" s="16">
        <f>VLOOKUP($A22,'נתונים'!$B$1:$D$50,3,0)</f>
        <v>152</v>
      </c>
      <c r="D22" s="5">
        <f>'נוסחאות'!D22</f>
        <v>0</v>
      </c>
      <c r="E22" s="17" t="str">
        <f>IF(D22=0, "", 'נוסחאות'!F22)</f>
        <v/>
      </c>
      <c r="F22" s="18">
        <f t="shared" si="1"/>
        <v>0.00003190801088</v>
      </c>
      <c r="G22" s="5" t="str">
        <f>IF((C22/(SUM($C$3:C$42))&gt;='נוסחאות'!$L$2), "כן", "לא")</f>
        <v>לא</v>
      </c>
      <c r="H22" s="1" t="str">
        <f t="shared" si="2"/>
        <v/>
      </c>
      <c r="I22" s="37"/>
      <c r="J22" s="5"/>
      <c r="Q22" s="39" t="s">
        <v>68</v>
      </c>
      <c r="R22" s="49">
        <f t="shared" ref="R22:T22" si="7">R25+R27+R30+R31+R32+R34</f>
        <v>53</v>
      </c>
      <c r="S22" s="49">
        <f t="shared" si="7"/>
        <v>53</v>
      </c>
      <c r="T22" s="49">
        <f t="shared" si="7"/>
        <v>54</v>
      </c>
      <c r="V22" s="4" t="str">
        <f t="shared" ref="V22:W22" si="8">M6</f>
        <v>המחנה הממלכתי</v>
      </c>
      <c r="W22" s="43">
        <f t="shared" si="8"/>
        <v>12</v>
      </c>
      <c r="X22" s="44" t="s">
        <v>16</v>
      </c>
      <c r="Z22" s="5"/>
      <c r="AA22" s="5"/>
      <c r="AB22" s="5"/>
      <c r="AC22" s="5"/>
      <c r="AD22" s="5"/>
      <c r="AE22" s="5"/>
      <c r="AF22" s="5"/>
      <c r="AG22" s="5"/>
    </row>
    <row r="23" ht="13.5" customHeight="1">
      <c r="A23" s="1" t="s">
        <v>69</v>
      </c>
      <c r="B23" s="1" t="s">
        <v>70</v>
      </c>
      <c r="C23" s="16">
        <f>VLOOKUP($A23,'נתונים'!$B$1:$D$50,3,0)</f>
        <v>377</v>
      </c>
      <c r="D23" s="5">
        <f>'נוסחאות'!D23</f>
        <v>0</v>
      </c>
      <c r="E23" s="17" t="str">
        <f>IF(D23=0, "", 'נוסחאות'!F23)</f>
        <v/>
      </c>
      <c r="F23" s="18">
        <f t="shared" si="1"/>
        <v>0.00007914026384</v>
      </c>
      <c r="G23" s="5" t="str">
        <f>IF((C23/(SUM($C$3:C$42))&gt;='נוסחאות'!$L$2), "כן", "לא")</f>
        <v>לא</v>
      </c>
      <c r="H23" s="1" t="str">
        <f t="shared" si="2"/>
        <v/>
      </c>
      <c r="I23" s="37"/>
      <c r="K23" s="10"/>
      <c r="L23" s="50" t="str">
        <f>"אחוז החסימה המשוער:"&amp;" "&amp;ROUNDDOWN(W3*0.0325,0)</f>
        <v>אחוז החסימה המשוער: 154820</v>
      </c>
      <c r="Q23" s="51" t="s">
        <v>71</v>
      </c>
      <c r="R23" s="52">
        <f t="shared" ref="R23:T23" si="9">R33</f>
        <v>5</v>
      </c>
      <c r="S23" s="52">
        <f t="shared" si="9"/>
        <v>5</v>
      </c>
      <c r="T23" s="52">
        <f t="shared" si="9"/>
        <v>4</v>
      </c>
      <c r="V23" s="4" t="str">
        <f t="shared" ref="V23:W23" si="10">M7</f>
        <v>ש"ס</v>
      </c>
      <c r="W23" s="43">
        <f t="shared" si="10"/>
        <v>11</v>
      </c>
      <c r="X23" s="22" t="s">
        <v>12</v>
      </c>
      <c r="Z23" s="5"/>
      <c r="AA23" s="5"/>
      <c r="AB23" s="5"/>
      <c r="AC23" s="5"/>
      <c r="AD23" s="5"/>
      <c r="AE23" s="5"/>
      <c r="AF23" s="5"/>
      <c r="AG23" s="5"/>
    </row>
    <row r="24" ht="13.5" customHeight="1">
      <c r="A24" s="1" t="s">
        <v>72</v>
      </c>
      <c r="B24" s="1" t="s">
        <v>73</v>
      </c>
      <c r="C24" s="16">
        <f>VLOOKUP($A24,'נתונים'!$B$1:$D$50,3,0)</f>
        <v>234</v>
      </c>
      <c r="D24" s="5">
        <f>'נוסחאות'!D24</f>
        <v>0</v>
      </c>
      <c r="E24" s="17" t="str">
        <f>IF(D24=0, "", 'נוסחאות'!F24)</f>
        <v/>
      </c>
      <c r="F24" s="18">
        <f t="shared" si="1"/>
        <v>0.00004912154307</v>
      </c>
      <c r="G24" s="5" t="str">
        <f>IF((C24/(SUM($C$3:C$42))&gt;='נוסחאות'!$L$2), "כן", "לא")</f>
        <v>לא</v>
      </c>
      <c r="H24" s="1" t="str">
        <f t="shared" si="2"/>
        <v/>
      </c>
      <c r="I24" s="37"/>
      <c r="J24" s="5"/>
      <c r="K24" s="13"/>
      <c r="L24" s="50" t="s">
        <v>74</v>
      </c>
      <c r="N24" s="53">
        <f>roundup(SUM(C3:C50)*3.25%,0)</f>
        <v>154821</v>
      </c>
      <c r="Q24" s="54" t="s">
        <v>18</v>
      </c>
      <c r="R24" s="47">
        <v>31.0</v>
      </c>
      <c r="S24" s="47">
        <v>32.0</v>
      </c>
      <c r="T24" s="47">
        <v>30.0</v>
      </c>
      <c r="V24" s="4" t="str">
        <f t="shared" ref="V24:W24" si="11">M8</f>
        <v>יהדות התורה</v>
      </c>
      <c r="W24" s="43">
        <f t="shared" si="11"/>
        <v>7</v>
      </c>
      <c r="X24" s="22" t="s">
        <v>12</v>
      </c>
      <c r="Z24" s="5"/>
      <c r="AA24" s="5"/>
      <c r="AB24" s="5"/>
      <c r="AC24" s="5"/>
      <c r="AD24" s="5"/>
      <c r="AE24" s="5"/>
      <c r="AF24" s="5"/>
      <c r="AG24" s="5"/>
    </row>
    <row r="25" ht="13.5" customHeight="1">
      <c r="A25" s="1" t="s">
        <v>75</v>
      </c>
      <c r="B25" s="1" t="s">
        <v>76</v>
      </c>
      <c r="C25" s="16">
        <f>VLOOKUP($A25,'נתונים'!$B$1:$D$50,3,0)</f>
        <v>265</v>
      </c>
      <c r="D25" s="5">
        <f>'נוסחאות'!D25</f>
        <v>0</v>
      </c>
      <c r="E25" s="17" t="str">
        <f>IF(D25=0, "", 'נוסחאות'!F25)</f>
        <v/>
      </c>
      <c r="F25" s="18">
        <f t="shared" si="1"/>
        <v>0.00005562909792</v>
      </c>
      <c r="G25" s="5" t="str">
        <f>IF((C25/(SUM($C$3:C$42))&gt;='נוסחאות'!$L$2), "כן", "לא")</f>
        <v>לא</v>
      </c>
      <c r="H25" s="1" t="str">
        <f t="shared" si="2"/>
        <v/>
      </c>
      <c r="I25" s="37"/>
      <c r="J25" s="5"/>
      <c r="K25" s="13"/>
      <c r="L25" s="50" t="s">
        <v>13</v>
      </c>
      <c r="M25" s="50" t="s">
        <v>77</v>
      </c>
      <c r="N25" s="50" t="s">
        <v>78</v>
      </c>
      <c r="Q25" s="54" t="s">
        <v>21</v>
      </c>
      <c r="R25" s="47">
        <v>23.0</v>
      </c>
      <c r="S25" s="47">
        <v>23.0</v>
      </c>
      <c r="T25" s="47">
        <v>23.0</v>
      </c>
      <c r="V25" s="4" t="str">
        <f t="shared" ref="V25:W25" si="12">M9</f>
        <v>ישראל ביתנו</v>
      </c>
      <c r="W25" s="43">
        <f t="shared" si="12"/>
        <v>6</v>
      </c>
      <c r="X25" s="44" t="s">
        <v>16</v>
      </c>
      <c r="Z25" s="5"/>
      <c r="AA25" s="5"/>
      <c r="AB25" s="5"/>
      <c r="AC25" s="5"/>
      <c r="AD25" s="5"/>
      <c r="AE25" s="5"/>
      <c r="AF25" s="5"/>
      <c r="AG25" s="5"/>
    </row>
    <row r="26" ht="13.5" customHeight="1">
      <c r="A26" s="1" t="s">
        <v>79</v>
      </c>
      <c r="B26" s="1" t="s">
        <v>80</v>
      </c>
      <c r="C26" s="16">
        <f>VLOOKUP($A26,'נתונים'!$B$1:$D$50,3,0)</f>
        <v>425</v>
      </c>
      <c r="D26" s="5">
        <f>'נוסחאות'!D26</f>
        <v>0</v>
      </c>
      <c r="E26" s="17" t="str">
        <f>IF(D26=0, "", 'נוסחאות'!F26)</f>
        <v/>
      </c>
      <c r="F26" s="18">
        <f t="shared" si="1"/>
        <v>0.0000892164778</v>
      </c>
      <c r="G26" s="5" t="str">
        <f>IF((C26/(SUM($C$3:C$42))&gt;='נוסחאות'!$L$2), "כן", "לא")</f>
        <v>לא</v>
      </c>
      <c r="H26" s="1" t="str">
        <f t="shared" si="2"/>
        <v/>
      </c>
      <c r="I26" s="37"/>
      <c r="J26" s="5"/>
      <c r="K26" s="13">
        <v>1.0</v>
      </c>
      <c r="L26" s="44" t="str">
        <f>VLOOKUP(K26, abc!$N$2:abc!$R$9, 2, false)</f>
        <v>ישראל ביתנו</v>
      </c>
      <c r="M26" s="55">
        <f>VLOOKUP(K26, abc!$N$2:abc!$R$9, 4, false)</f>
        <v>58834</v>
      </c>
      <c r="N26" s="56">
        <f>VLOOKUP(K26, abc!$N$2:abc!$R$9, 5, false)</f>
        <v>1.23506978</v>
      </c>
      <c r="Q26" s="54" t="s">
        <v>24</v>
      </c>
      <c r="R26" s="47">
        <v>14.0</v>
      </c>
      <c r="S26" s="47">
        <v>13.0</v>
      </c>
      <c r="T26" s="47">
        <v>15.0</v>
      </c>
      <c r="U26" s="5"/>
      <c r="V26" s="4" t="str">
        <f t="shared" ref="V26:W26" si="13">M10</f>
        <v>רע"ם</v>
      </c>
      <c r="W26" s="43">
        <f t="shared" si="13"/>
        <v>5</v>
      </c>
      <c r="X26" s="44" t="s">
        <v>16</v>
      </c>
      <c r="Z26" s="5"/>
      <c r="AA26" s="5"/>
      <c r="AB26" s="5"/>
      <c r="AC26" s="5"/>
      <c r="AD26" s="5"/>
      <c r="AE26" s="5"/>
      <c r="AF26" s="5"/>
      <c r="AG26" s="5"/>
    </row>
    <row r="27" ht="13.5" customHeight="1">
      <c r="A27" s="1" t="s">
        <v>81</v>
      </c>
      <c r="B27" s="1" t="s">
        <v>82</v>
      </c>
      <c r="C27" s="16">
        <f>VLOOKUP($A27,'נתונים'!$B$1:$D$50,3,0)</f>
        <v>1321</v>
      </c>
      <c r="D27" s="5">
        <f>'נוסחאות'!D27</f>
        <v>0</v>
      </c>
      <c r="E27" s="17" t="str">
        <f>IF(D27=0, "", 'נוסחאות'!F27)</f>
        <v/>
      </c>
      <c r="F27" s="18">
        <f t="shared" si="1"/>
        <v>0.0002773058051</v>
      </c>
      <c r="G27" s="5" t="str">
        <f>IF((C27/(SUM($C$3:C$42))&gt;='נוסחאות'!$L$2), "כן", "לא")</f>
        <v>לא</v>
      </c>
      <c r="H27" s="1" t="str">
        <f t="shared" si="2"/>
        <v/>
      </c>
      <c r="I27" s="37"/>
      <c r="J27" s="5"/>
      <c r="K27" s="13">
        <v>2.0</v>
      </c>
      <c r="L27" s="44" t="str">
        <f>VLOOKUP(K27, abc!$N$2:abc!$R$9, 2, false)</f>
        <v>רע"ם</v>
      </c>
      <c r="M27" s="55">
        <f>VLOOKUP(K27, abc!$N$2:abc!$R$9, 4, false)</f>
        <v>39095</v>
      </c>
      <c r="N27" s="56">
        <f>VLOOKUP(K27, abc!$N$2:abc!$R$9, 5, false)</f>
        <v>0.8207064727</v>
      </c>
      <c r="Q27" s="54" t="s">
        <v>83</v>
      </c>
      <c r="R27" s="47">
        <v>11.0</v>
      </c>
      <c r="S27" s="47">
        <v>11.0</v>
      </c>
      <c r="T27" s="47">
        <v>12.0</v>
      </c>
      <c r="U27" s="5"/>
      <c r="V27" s="4" t="str">
        <f t="shared" ref="V27:W27" si="14">M11</f>
        <v>חד"ש-תע"ל</v>
      </c>
      <c r="W27" s="43">
        <f t="shared" si="14"/>
        <v>5</v>
      </c>
      <c r="X27" s="44"/>
      <c r="Z27" s="5"/>
      <c r="AA27" s="5"/>
      <c r="AB27" s="5"/>
      <c r="AC27" s="5"/>
      <c r="AD27" s="5"/>
      <c r="AE27" s="5"/>
      <c r="AF27" s="5"/>
      <c r="AG27" s="5"/>
    </row>
    <row r="28" ht="13.5" customHeight="1">
      <c r="A28" s="1" t="s">
        <v>84</v>
      </c>
      <c r="B28" s="1" t="s">
        <v>85</v>
      </c>
      <c r="C28" s="16">
        <f>VLOOKUP($A28,'נתונים'!$B$1:$D$50,3,0)</f>
        <v>533</v>
      </c>
      <c r="D28" s="5">
        <f>'נוסחאות'!D28</f>
        <v>0</v>
      </c>
      <c r="E28" s="17" t="str">
        <f>IF(D28=0, "", 'נוסחאות'!F28)</f>
        <v/>
      </c>
      <c r="F28" s="18">
        <f t="shared" si="1"/>
        <v>0.0001118879592</v>
      </c>
      <c r="G28" s="5" t="str">
        <f>IF((C28/(SUM($C$3:C$42))&gt;='נוסחאות'!$L$2), "כן", "לא")</f>
        <v>לא</v>
      </c>
      <c r="H28" s="1" t="str">
        <f t="shared" si="2"/>
        <v/>
      </c>
      <c r="I28" s="37"/>
      <c r="J28" s="5"/>
      <c r="K28" s="13">
        <v>3.0</v>
      </c>
      <c r="L28" s="44" t="str">
        <f>VLOOKUP(K28, abc!$N$2:abc!$R$9, 2, false)</f>
        <v>חד"ש-תע"ל</v>
      </c>
      <c r="M28" s="55">
        <f>VLOOKUP(K28, abc!$N$2:abc!$R$9, 4, false)</f>
        <v>23840</v>
      </c>
      <c r="N28" s="56">
        <f>VLOOKUP(K28, abc!$N$2:abc!$R$9, 5, false)</f>
        <v>0.5004717977</v>
      </c>
      <c r="Q28" s="54" t="s">
        <v>29</v>
      </c>
      <c r="R28" s="47">
        <v>10.0</v>
      </c>
      <c r="S28" s="47">
        <v>10.0</v>
      </c>
      <c r="T28" s="47">
        <v>10.0</v>
      </c>
      <c r="U28" s="5"/>
      <c r="V28" s="4" t="str">
        <f t="shared" ref="V28:W28" si="15">M12</f>
        <v>העבודה</v>
      </c>
      <c r="W28" s="43">
        <f t="shared" si="15"/>
        <v>4</v>
      </c>
      <c r="X28" s="44"/>
      <c r="Z28" s="5"/>
      <c r="AA28" s="5"/>
      <c r="AB28" s="5"/>
      <c r="AC28" s="5"/>
      <c r="AD28" s="5"/>
      <c r="AE28" s="5"/>
      <c r="AF28" s="5"/>
      <c r="AG28" s="5"/>
    </row>
    <row r="29" ht="13.5" customHeight="1">
      <c r="A29" s="1" t="s">
        <v>86</v>
      </c>
      <c r="B29" s="1" t="s">
        <v>87</v>
      </c>
      <c r="C29" s="16">
        <f>VLOOKUP($A29,'נתונים'!$B$1:$D$50,3,0)</f>
        <v>1344</v>
      </c>
      <c r="D29" s="5">
        <f>'נוסחאות'!D29</f>
        <v>0</v>
      </c>
      <c r="E29" s="17" t="str">
        <f>IF(D29=0, "", 'נוסחאות'!F29)</f>
        <v/>
      </c>
      <c r="F29" s="18">
        <f t="shared" si="1"/>
        <v>0.000282133991</v>
      </c>
      <c r="G29" s="5" t="str">
        <f>IF((C29/(SUM($C$3:C$42))&gt;='נוסחאות'!$L$2), "כן", "לא")</f>
        <v>לא</v>
      </c>
      <c r="H29" s="1" t="str">
        <f t="shared" si="2"/>
        <v/>
      </c>
      <c r="I29" s="37" t="str">
        <f>IF(D29&gt;0, 1-('נוסחאות'!H29-(ROUNDDOWN('נוסחאות'!H29,0))), "")</f>
        <v/>
      </c>
      <c r="J29" s="5"/>
      <c r="K29" s="13">
        <v>4.0</v>
      </c>
      <c r="L29" s="44" t="str">
        <f>VLOOKUP(K29, abc!$N$2:abc!$R$9, 2, false)</f>
        <v>העבודה</v>
      </c>
      <c r="M29" s="55">
        <f>VLOOKUP(K29, abc!$N$2:abc!$R$9, 4, false)</f>
        <v>21101</v>
      </c>
      <c r="N29" s="56">
        <f>VLOOKUP(K29, abc!$N$2:abc!$R$9, 5, false)</f>
        <v>0.4429744018</v>
      </c>
      <c r="Q29" s="54" t="s">
        <v>31</v>
      </c>
      <c r="R29" s="47">
        <v>7.0</v>
      </c>
      <c r="S29" s="47">
        <v>7.0</v>
      </c>
      <c r="T29" s="47">
        <v>7.0</v>
      </c>
      <c r="U29" s="5"/>
      <c r="V29" s="4" t="str">
        <f t="shared" ref="V29:W29" si="16">M13</f>
        <v>מרצ</v>
      </c>
      <c r="W29" s="43">
        <f t="shared" si="16"/>
        <v>0</v>
      </c>
      <c r="X29" s="44" t="s">
        <v>16</v>
      </c>
      <c r="Z29" s="5"/>
      <c r="AA29" s="5"/>
      <c r="AB29" s="5"/>
      <c r="AC29" s="5"/>
      <c r="AD29" s="5"/>
      <c r="AE29" s="5"/>
      <c r="AF29" s="5"/>
      <c r="AG29" s="5"/>
    </row>
    <row r="30" ht="13.5" customHeight="1">
      <c r="A30" s="1" t="s">
        <v>88</v>
      </c>
      <c r="B30" s="1" t="s">
        <v>89</v>
      </c>
      <c r="C30" s="16">
        <f>VLOOKUP($A30,'נתונים'!$B$1:$D$50,3,0)</f>
        <v>256</v>
      </c>
      <c r="D30" s="5">
        <f>'נוסחאות'!D30</f>
        <v>0</v>
      </c>
      <c r="E30" s="17" t="str">
        <f>IF(D30=0, "", 'נוסחאות'!F30)</f>
        <v/>
      </c>
      <c r="F30" s="18">
        <f t="shared" si="1"/>
        <v>0.0000537398078</v>
      </c>
      <c r="G30" s="5" t="str">
        <f>IF((C30/(SUM($C$3:C$42))&gt;='נוסחאות'!$L$2), "כן", "לא")</f>
        <v>לא</v>
      </c>
      <c r="H30" s="1" t="str">
        <f t="shared" si="2"/>
        <v/>
      </c>
      <c r="I30" s="4"/>
      <c r="K30" s="13">
        <v>5.0</v>
      </c>
      <c r="L30" s="44" t="str">
        <f>VLOOKUP(K30, abc!$N$2:abc!$R$9, 2, false)</f>
        <v>מרצ</v>
      </c>
      <c r="M30" s="55">
        <f>VLOOKUP(K30, abc!$N$2:abc!$R$9, 4, false)</f>
        <v>-4125</v>
      </c>
      <c r="N30" s="56">
        <f>VLOOKUP(K30, abc!$N$2:abc!$R$9, 5, false)</f>
        <v>-0.0865726262</v>
      </c>
      <c r="P30" s="5"/>
      <c r="Q30" s="54" t="s">
        <v>34</v>
      </c>
      <c r="R30" s="47">
        <v>5.0</v>
      </c>
      <c r="S30" s="47">
        <v>6.0</v>
      </c>
      <c r="T30" s="47">
        <v>5.0</v>
      </c>
      <c r="U30" s="5"/>
      <c r="V30" s="44" t="s">
        <v>90</v>
      </c>
      <c r="X30" s="5"/>
      <c r="Z30" s="5"/>
      <c r="AA30" s="5"/>
      <c r="AB30" s="5"/>
      <c r="AC30" s="5"/>
      <c r="AD30" s="5"/>
      <c r="AE30" s="5"/>
      <c r="AF30" s="5"/>
      <c r="AG30" s="5"/>
    </row>
    <row r="31" ht="13.5" customHeight="1">
      <c r="A31" s="1" t="s">
        <v>91</v>
      </c>
      <c r="B31" s="1" t="s">
        <v>92</v>
      </c>
      <c r="C31" s="16">
        <f>VLOOKUP($A31,'נתונים'!$B$1:$D$50,3,0)</f>
        <v>1018</v>
      </c>
      <c r="D31" s="5">
        <f>'נוסחאות'!D31</f>
        <v>0</v>
      </c>
      <c r="E31" s="17" t="str">
        <f>IF(D31=0, "", 'נוסחאות'!F31)</f>
        <v/>
      </c>
      <c r="F31" s="18">
        <f t="shared" si="1"/>
        <v>0.0002136997045</v>
      </c>
      <c r="G31" s="5" t="str">
        <f>IF((C31/(SUM($C$3:C$42))&gt;='נוסחאות'!$L$2), "כן", "לא")</f>
        <v>לא</v>
      </c>
      <c r="H31" s="1" t="str">
        <f t="shared" si="2"/>
        <v/>
      </c>
      <c r="I31" s="4"/>
      <c r="K31" s="13">
        <v>6.0</v>
      </c>
      <c r="L31" s="44" t="str">
        <f>VLOOKUP(K31, abc!$N$2:abc!$R$9, 2, false)</f>
        <v>בל"ד</v>
      </c>
      <c r="M31" s="55">
        <f>VLOOKUP(K31, abc!$N$2:abc!$R$9, 4, false)</f>
        <v>-16728</v>
      </c>
      <c r="N31" s="56">
        <f>VLOOKUP(K31, abc!$N$2:abc!$R$9, 5, false)</f>
        <v>-0.3511362191</v>
      </c>
      <c r="Q31" s="54" t="s">
        <v>37</v>
      </c>
      <c r="R31" s="47">
        <v>5.0</v>
      </c>
      <c r="S31" s="47">
        <v>5.0</v>
      </c>
      <c r="T31" s="47">
        <v>5.0</v>
      </c>
      <c r="U31" s="1"/>
      <c r="V31" s="1"/>
      <c r="W31" s="21"/>
      <c r="X31" s="1"/>
      <c r="Y31" s="5"/>
      <c r="Z31" s="5"/>
      <c r="AA31" s="5"/>
      <c r="AB31" s="5"/>
      <c r="AC31" s="5"/>
      <c r="AD31" s="5"/>
      <c r="AE31" s="5"/>
      <c r="AF31" s="5"/>
      <c r="AG31" s="5"/>
    </row>
    <row r="32" ht="13.5" customHeight="1">
      <c r="A32" s="1" t="s">
        <v>93</v>
      </c>
      <c r="B32" s="1" t="s">
        <v>94</v>
      </c>
      <c r="C32" s="16">
        <f>VLOOKUP($A32,'נתונים'!$B$1:$D$50,3,0)</f>
        <v>1213</v>
      </c>
      <c r="D32" s="5">
        <f>'נוסחאות'!D32</f>
        <v>0</v>
      </c>
      <c r="E32" s="17" t="str">
        <f>IF(D32=0, "", 'נוסחאות'!F32)</f>
        <v/>
      </c>
      <c r="F32" s="18">
        <f t="shared" si="1"/>
        <v>0.0002546343237</v>
      </c>
      <c r="G32" s="5" t="str">
        <f>IF((C32/(SUM($C$3:C$42))&gt;='נוסחאות'!$L$2), "כן", "לא")</f>
        <v>לא</v>
      </c>
      <c r="H32" s="1" t="str">
        <f t="shared" si="2"/>
        <v/>
      </c>
      <c r="I32" s="4"/>
      <c r="K32" s="13">
        <v>7.0</v>
      </c>
      <c r="L32" s="44" t="str">
        <f>VLOOKUP(K32, abc!$N$2:abc!$R$9, 2, false)</f>
        <v>הבית היהודי</v>
      </c>
      <c r="M32" s="55">
        <f>VLOOKUP(K32, abc!$N$2:abc!$R$9, 4, false)</f>
        <v>-98028</v>
      </c>
      <c r="N32" s="56">
        <f>VLOOKUP(K32, abc!$N$2:abc!$R$9, 5, false)</f>
        <v>-2.057794959</v>
      </c>
      <c r="Q32" s="54" t="s">
        <v>39</v>
      </c>
      <c r="R32" s="47">
        <v>4.0</v>
      </c>
      <c r="S32" s="47">
        <v>4.0</v>
      </c>
      <c r="T32" s="47">
        <v>4.0</v>
      </c>
      <c r="U32" s="34"/>
      <c r="V32" s="34"/>
      <c r="W32" s="5"/>
      <c r="X32" s="1"/>
      <c r="Y32" s="5"/>
      <c r="Z32" s="5"/>
      <c r="AA32" s="5"/>
      <c r="AB32" s="5"/>
      <c r="AC32" s="5"/>
      <c r="AD32" s="5"/>
      <c r="AE32" s="5"/>
      <c r="AF32" s="5"/>
      <c r="AG32" s="5"/>
    </row>
    <row r="33" ht="13.5" customHeight="1">
      <c r="A33" s="1" t="s">
        <v>95</v>
      </c>
      <c r="B33" s="1" t="s">
        <v>96</v>
      </c>
      <c r="C33" s="16">
        <f>VLOOKUP($A33,'נתונים'!$B$1:$D$50,3,0)</f>
        <v>413</v>
      </c>
      <c r="D33" s="5">
        <f>'נוסחאות'!D33</f>
        <v>0</v>
      </c>
      <c r="E33" s="17" t="str">
        <f>IF(D33=0, "", 'נוסחאות'!F33)</f>
        <v/>
      </c>
      <c r="F33" s="18">
        <f t="shared" si="1"/>
        <v>0.00008669742431</v>
      </c>
      <c r="G33" s="5" t="str">
        <f>IF((C33/(SUM($C$3:C$42))&gt;='נוסחאות'!$L$2), "כן", "לא")</f>
        <v>לא</v>
      </c>
      <c r="H33" s="1" t="str">
        <f t="shared" si="2"/>
        <v/>
      </c>
      <c r="I33" s="4"/>
      <c r="Q33" s="54" t="s">
        <v>41</v>
      </c>
      <c r="R33" s="47">
        <v>5.0</v>
      </c>
      <c r="S33" s="47">
        <v>5.0</v>
      </c>
      <c r="T33" s="47">
        <v>4.0</v>
      </c>
      <c r="U33" s="1"/>
      <c r="V33" s="1"/>
      <c r="W33" s="5"/>
      <c r="X33" s="1"/>
      <c r="Y33" s="5"/>
      <c r="Z33" s="5"/>
      <c r="AA33" s="5"/>
      <c r="AB33" s="5"/>
      <c r="AC33" s="5"/>
      <c r="AD33" s="5"/>
      <c r="AE33" s="5"/>
      <c r="AF33" s="5"/>
      <c r="AG33" s="5"/>
    </row>
    <row r="34" ht="13.5" customHeight="1">
      <c r="A34" s="1" t="s">
        <v>97</v>
      </c>
      <c r="B34" s="1" t="s">
        <v>98</v>
      </c>
      <c r="C34" s="16">
        <f>VLOOKUP($A34,'נתונים'!$B$1:$D$50,3,0)</f>
        <v>1728</v>
      </c>
      <c r="D34" s="5">
        <f>'נוסחאות'!D34</f>
        <v>0</v>
      </c>
      <c r="E34" s="17" t="str">
        <f>IF(D34=0, "", 'נוסחאות'!F34)</f>
        <v/>
      </c>
      <c r="F34" s="18">
        <f t="shared" si="1"/>
        <v>0.0003627437027</v>
      </c>
      <c r="G34" s="5" t="str">
        <f>IF((C34/(SUM($C$3:C$42))&gt;='נוסחאות'!$L$2), "כן", "לא")</f>
        <v>לא</v>
      </c>
      <c r="H34" s="1" t="str">
        <f t="shared" si="2"/>
        <v/>
      </c>
      <c r="I34" s="4"/>
      <c r="Q34" s="54" t="s">
        <v>43</v>
      </c>
      <c r="R34" s="47">
        <v>5.0</v>
      </c>
      <c r="S34" s="47">
        <v>4.0</v>
      </c>
      <c r="T34" s="47">
        <v>5.0</v>
      </c>
      <c r="U34" s="5"/>
      <c r="V34" s="5"/>
      <c r="W34" s="1"/>
      <c r="X34" s="1"/>
      <c r="Y34" s="5"/>
      <c r="Z34" s="5"/>
      <c r="AA34" s="5"/>
      <c r="AB34" s="5"/>
      <c r="AC34" s="5"/>
      <c r="AD34" s="5"/>
      <c r="AE34" s="5"/>
      <c r="AF34" s="5"/>
      <c r="AG34" s="5"/>
    </row>
    <row r="35" ht="13.5" customHeight="1">
      <c r="A35" s="1" t="s">
        <v>99</v>
      </c>
      <c r="B35" s="1" t="s">
        <v>100</v>
      </c>
      <c r="C35" s="57">
        <v>982.0</v>
      </c>
      <c r="D35" s="5">
        <f>'נוסחאות'!D35</f>
        <v>0</v>
      </c>
      <c r="E35" s="17" t="str">
        <f>IF(D35=0, "", 'נוסחאות'!F35)</f>
        <v/>
      </c>
      <c r="F35" s="18">
        <f t="shared" si="1"/>
        <v>0.000206142544</v>
      </c>
      <c r="G35" s="5" t="str">
        <f>IF((C35/(SUM($C$3:C$42))&gt;='נוסחאות'!$L$2), "כן", "לא")</f>
        <v>לא</v>
      </c>
      <c r="H35" s="1" t="str">
        <f t="shared" si="2"/>
        <v/>
      </c>
      <c r="I35" s="58" t="s">
        <v>101</v>
      </c>
      <c r="L35" s="59" t="s">
        <v>102</v>
      </c>
      <c r="M35" s="59" t="s">
        <v>103</v>
      </c>
      <c r="N35" s="59" t="s">
        <v>39</v>
      </c>
      <c r="Q35" s="54" t="s">
        <v>45</v>
      </c>
      <c r="R35" s="47">
        <v>0.0</v>
      </c>
      <c r="S35" s="47">
        <v>0.0</v>
      </c>
      <c r="T35" s="47">
        <v>0.0</v>
      </c>
      <c r="U35" s="5"/>
      <c r="V35" s="5"/>
      <c r="W35" s="1"/>
      <c r="X35" s="1"/>
      <c r="Y35" s="5"/>
      <c r="Z35" s="5"/>
      <c r="AA35" s="5"/>
      <c r="AB35" s="5"/>
      <c r="AC35" s="5"/>
      <c r="AD35" s="5"/>
      <c r="AE35" s="5"/>
      <c r="AF35" s="5"/>
      <c r="AG35" s="5"/>
    </row>
    <row r="36" ht="13.5" customHeight="1">
      <c r="A36" s="1" t="s">
        <v>104</v>
      </c>
      <c r="B36" s="1" t="s">
        <v>105</v>
      </c>
      <c r="C36" s="16">
        <f>VLOOKUP($A36,'נתונים'!$B$1:$D$50,3,0)</f>
        <v>1619</v>
      </c>
      <c r="D36" s="5">
        <f>'נוסחאות'!D36</f>
        <v>0</v>
      </c>
      <c r="E36" s="17" t="str">
        <f>IF(D36=0, "", 'נוסחאות'!F36)</f>
        <v/>
      </c>
      <c r="F36" s="18">
        <f t="shared" si="1"/>
        <v>0.0003398623001</v>
      </c>
      <c r="G36" s="5" t="str">
        <f>IF((C36/(SUM($C$3:C$42))&gt;='נוסחאות'!$L$2), "כן", "לא")</f>
        <v>לא</v>
      </c>
      <c r="H36" s="1" t="str">
        <f t="shared" si="2"/>
        <v/>
      </c>
      <c r="I36" s="4"/>
      <c r="L36" s="60">
        <v>0.0</v>
      </c>
      <c r="M36" s="61">
        <f>C2</f>
        <v>4763694</v>
      </c>
      <c r="N36" s="61">
        <f>C11</f>
        <v>150696</v>
      </c>
      <c r="O36" s="62">
        <f>N36/M36</f>
        <v>0.03163427374</v>
      </c>
      <c r="Q36" s="54" t="s">
        <v>47</v>
      </c>
      <c r="R36" s="47">
        <v>0.0</v>
      </c>
      <c r="S36" s="47">
        <v>0.0</v>
      </c>
      <c r="T36" s="47">
        <v>0.0</v>
      </c>
      <c r="U36" s="5"/>
      <c r="V36" s="5"/>
      <c r="W36" s="1"/>
      <c r="X36" s="1"/>
      <c r="Y36" s="5"/>
      <c r="Z36" s="5"/>
      <c r="AA36" s="5"/>
      <c r="AB36" s="5"/>
      <c r="AC36" s="5"/>
      <c r="AD36" s="5"/>
      <c r="AE36" s="5"/>
      <c r="AF36" s="5"/>
      <c r="AG36" s="5"/>
    </row>
    <row r="37" ht="13.5" customHeight="1">
      <c r="A37" s="1" t="s">
        <v>106</v>
      </c>
      <c r="B37" s="1" t="s">
        <v>107</v>
      </c>
      <c r="C37" s="16">
        <f>VLOOKUP($A37,'נתונים'!$B$1:$D$50,3,0)</f>
        <v>412</v>
      </c>
      <c r="D37" s="5">
        <f>'נוסחאות'!D37</f>
        <v>0</v>
      </c>
      <c r="E37" s="17" t="str">
        <f>IF(D37=0, "", 'נוסחאות'!F37)</f>
        <v/>
      </c>
      <c r="F37" s="18">
        <f t="shared" si="1"/>
        <v>0.00008648750319</v>
      </c>
      <c r="G37" s="5" t="str">
        <f>IF((C37/(SUM($C$3:C$42))&gt;='נוסחאות'!$L$2), "כן", "לא")</f>
        <v>לא</v>
      </c>
      <c r="H37" s="1" t="str">
        <f t="shared" si="2"/>
        <v/>
      </c>
      <c r="I37" s="4"/>
      <c r="L37" s="60">
        <v>4435.0</v>
      </c>
      <c r="M37" s="61">
        <f t="shared" ref="M37:N37" si="17">M36+$L$37</f>
        <v>4768129</v>
      </c>
      <c r="N37" s="61">
        <f t="shared" si="17"/>
        <v>155131</v>
      </c>
      <c r="O37" s="63" t="str">
        <f>if(N37/M37&gt;0.0325, "כן", "לא")</f>
        <v>כן</v>
      </c>
      <c r="R37" s="64">
        <f t="shared" ref="R37:T37" si="18">SUM(R24:R36)</f>
        <v>120</v>
      </c>
      <c r="S37" s="64">
        <f t="shared" si="18"/>
        <v>120</v>
      </c>
      <c r="T37" s="64">
        <f t="shared" si="18"/>
        <v>120</v>
      </c>
      <c r="U37" s="5"/>
      <c r="V37" s="5"/>
      <c r="W37" s="1"/>
      <c r="X37" s="1"/>
      <c r="Y37" s="5"/>
      <c r="Z37" s="5"/>
      <c r="AA37" s="5"/>
      <c r="AB37" s="5"/>
      <c r="AC37" s="5"/>
      <c r="AD37" s="5"/>
      <c r="AE37" s="5"/>
      <c r="AF37" s="5"/>
      <c r="AG37" s="5"/>
    </row>
    <row r="38" ht="13.5" customHeight="1">
      <c r="A38" s="1" t="s">
        <v>108</v>
      </c>
      <c r="B38" s="1" t="s">
        <v>109</v>
      </c>
      <c r="C38" s="16">
        <f>VLOOKUP($A38,'נתונים'!$B$1:$D$50,3,0)</f>
        <v>1078</v>
      </c>
      <c r="D38" s="5">
        <f>'נוסחאות'!D38</f>
        <v>0</v>
      </c>
      <c r="E38" s="17" t="str">
        <f>IF(D38=0, "", 'נוסחאות'!F38)</f>
        <v/>
      </c>
      <c r="F38" s="18">
        <f t="shared" si="1"/>
        <v>0.0002262949719</v>
      </c>
      <c r="G38" s="5" t="str">
        <f>IF((C38/(SUM($C$3:C$42))&gt;='נוסחאות'!$L$2), "כן", "לא")</f>
        <v>לא</v>
      </c>
      <c r="H38" s="1" t="str">
        <f t="shared" si="2"/>
        <v/>
      </c>
      <c r="I38" s="4"/>
      <c r="Q38" s="65" t="s">
        <v>110</v>
      </c>
      <c r="R38" s="65">
        <f t="shared" ref="R38:T38" si="19">R24+R27+R28+R29</f>
        <v>59</v>
      </c>
      <c r="S38" s="65">
        <f t="shared" si="19"/>
        <v>60</v>
      </c>
      <c r="T38" s="65">
        <f t="shared" si="19"/>
        <v>59</v>
      </c>
      <c r="U38" s="5"/>
      <c r="V38" s="5"/>
      <c r="W38" s="1"/>
      <c r="X38" s="1"/>
      <c r="Y38" s="5"/>
      <c r="Z38" s="5"/>
      <c r="AA38" s="5"/>
      <c r="AB38" s="5"/>
      <c r="AC38" s="5"/>
      <c r="AD38" s="5"/>
      <c r="AE38" s="5"/>
      <c r="AF38" s="5"/>
      <c r="AG38" s="5"/>
    </row>
    <row r="39" ht="13.5" customHeight="1">
      <c r="A39" s="1" t="s">
        <v>111</v>
      </c>
      <c r="B39" s="1" t="s">
        <v>112</v>
      </c>
      <c r="C39" s="16">
        <f>VLOOKUP($A39,'נתונים'!$B$1:$D$50,3,0)</f>
        <v>1292</v>
      </c>
      <c r="D39" s="5">
        <f>'נוסחאות'!D39</f>
        <v>0</v>
      </c>
      <c r="E39" s="17" t="str">
        <f>IF(D39=0, "", 'נוסחאות'!F39)</f>
        <v/>
      </c>
      <c r="F39" s="18">
        <f t="shared" si="1"/>
        <v>0.0002712180925</v>
      </c>
      <c r="G39" s="5" t="str">
        <f>IF((C39/(SUM($C$3:C$42))&gt;='נוסחאות'!$L$2), "כן", "לא")</f>
        <v>לא</v>
      </c>
      <c r="H39" s="1" t="str">
        <f t="shared" si="2"/>
        <v/>
      </c>
      <c r="I39" s="4"/>
      <c r="Q39" s="66" t="s">
        <v>113</v>
      </c>
      <c r="R39" s="67">
        <f t="shared" ref="R39:T39" si="20">R22+R33</f>
        <v>58</v>
      </c>
      <c r="S39" s="67">
        <f t="shared" si="20"/>
        <v>58</v>
      </c>
      <c r="T39" s="67">
        <f t="shared" si="20"/>
        <v>58</v>
      </c>
      <c r="U39" s="5"/>
      <c r="V39" s="5"/>
      <c r="W39" s="1"/>
      <c r="X39" s="1"/>
      <c r="Y39" s="5"/>
      <c r="Z39" s="5"/>
      <c r="AA39" s="5"/>
      <c r="AB39" s="5"/>
      <c r="AC39" s="5"/>
      <c r="AD39" s="5"/>
      <c r="AE39" s="5"/>
      <c r="AF39" s="5"/>
      <c r="AG39" s="5"/>
    </row>
    <row r="40" ht="13.5" customHeight="1">
      <c r="A40" s="1" t="s">
        <v>114</v>
      </c>
      <c r="B40" s="1" t="s">
        <v>115</v>
      </c>
      <c r="C40" s="16">
        <f>VLOOKUP($A40,'נתונים'!$B$1:$D$50,3,0)</f>
        <v>14781</v>
      </c>
      <c r="D40" s="5">
        <f>'נוסחאות'!D40</f>
        <v>0</v>
      </c>
      <c r="E40" s="17" t="str">
        <f>IF(D40=0, "", 'נוסחאות'!F40)</f>
        <v/>
      </c>
      <c r="F40" s="18">
        <f t="shared" si="1"/>
        <v>0.003102844137</v>
      </c>
      <c r="G40" s="5" t="str">
        <f>IF((C40/(SUM($C$3:C$42))&gt;='נוסחאות'!$L$2), "כן", "לא")</f>
        <v>לא</v>
      </c>
      <c r="H40" s="1" t="str">
        <f t="shared" si="2"/>
        <v/>
      </c>
      <c r="I40" s="4"/>
      <c r="K40" s="5"/>
      <c r="Q40" s="68" t="s">
        <v>116</v>
      </c>
      <c r="R40" s="69">
        <f t="shared" ref="R40:T40" si="21">R22-R34</f>
        <v>48</v>
      </c>
      <c r="S40" s="69">
        <f t="shared" si="21"/>
        <v>49</v>
      </c>
      <c r="T40" s="69">
        <f t="shared" si="21"/>
        <v>49</v>
      </c>
      <c r="U40" s="5"/>
      <c r="V40" s="5"/>
      <c r="W40" s="1"/>
      <c r="X40" s="1"/>
      <c r="Y40" s="5"/>
      <c r="Z40" s="5"/>
      <c r="AA40" s="5"/>
      <c r="AB40" s="5"/>
      <c r="AC40" s="5"/>
      <c r="AD40" s="5"/>
      <c r="AE40" s="5"/>
      <c r="AF40" s="5"/>
      <c r="AG40" s="5"/>
    </row>
    <row r="41" ht="13.5" customHeight="1">
      <c r="A41" s="1" t="s">
        <v>117</v>
      </c>
      <c r="B41" s="1" t="s">
        <v>118</v>
      </c>
      <c r="C41" s="16">
        <f>VLOOKUP($A41,'נתונים'!$B$1:$D$50,3,0)</f>
        <v>948</v>
      </c>
      <c r="D41" s="5">
        <f>'נוסחאות'!D41</f>
        <v>0</v>
      </c>
      <c r="E41" s="17" t="str">
        <f>IF(D41=0, "", 'נוסחאות'!F41)</f>
        <v/>
      </c>
      <c r="F41" s="18">
        <f t="shared" si="1"/>
        <v>0.0001990052258</v>
      </c>
      <c r="G41" s="5" t="str">
        <f>IF((C41/(SUM($C$3:C$42))&gt;='נוסחאות'!$L$2), "כן", "לא")</f>
        <v>לא</v>
      </c>
      <c r="H41" s="1" t="str">
        <f t="shared" si="2"/>
        <v/>
      </c>
      <c r="I41" s="4"/>
      <c r="K41" s="5"/>
      <c r="L41" s="22"/>
      <c r="N41" s="70"/>
      <c r="O41" s="70"/>
      <c r="S41" s="5"/>
      <c r="T41" s="3"/>
      <c r="U41" s="5"/>
      <c r="V41" s="5"/>
      <c r="W41" s="13"/>
      <c r="X41" s="1"/>
      <c r="Y41" s="5"/>
      <c r="Z41" s="5"/>
      <c r="AA41" s="5"/>
      <c r="AB41" s="5"/>
      <c r="AC41" s="5"/>
      <c r="AD41" s="5"/>
      <c r="AE41" s="5"/>
      <c r="AF41" s="5"/>
      <c r="AG41" s="5"/>
    </row>
    <row r="42" ht="13.5" customHeight="1">
      <c r="A42" s="1" t="s">
        <v>119</v>
      </c>
      <c r="B42" s="1" t="s">
        <v>120</v>
      </c>
      <c r="C42" s="16">
        <f>VLOOKUP($A42,'נתונים'!$B$1:$D$50,3,0)</f>
        <v>1669</v>
      </c>
      <c r="D42" s="5">
        <f>'נוסחאות'!D42</f>
        <v>0</v>
      </c>
      <c r="E42" s="17" t="str">
        <f>IF(D42=0, "", 'נוסחאות'!F42)</f>
        <v/>
      </c>
      <c r="F42" s="18">
        <f t="shared" si="1"/>
        <v>0.0003503583564</v>
      </c>
      <c r="G42" s="5" t="str">
        <f>IF((C42/(SUM($C$3:C$42))&gt;='נוסחאות'!$L$2), "כן", "לא")</f>
        <v>לא</v>
      </c>
      <c r="H42" s="1" t="str">
        <f t="shared" si="2"/>
        <v/>
      </c>
      <c r="I42" s="4"/>
      <c r="L42" s="22"/>
      <c r="N42" s="5"/>
      <c r="O42" s="5"/>
      <c r="P42" s="5"/>
      <c r="Q42" s="4"/>
      <c r="S42" s="5"/>
      <c r="T42" s="3"/>
      <c r="U42" s="5"/>
      <c r="V42" s="5"/>
      <c r="W42" s="1"/>
      <c r="X42" s="1"/>
      <c r="Y42" s="5"/>
      <c r="Z42" s="5"/>
      <c r="AA42" s="5"/>
      <c r="AB42" s="5"/>
      <c r="AC42" s="5"/>
      <c r="AD42" s="5"/>
      <c r="AE42" s="5"/>
      <c r="AF42" s="5"/>
      <c r="AG42" s="5"/>
    </row>
    <row r="43" ht="14.25" customHeight="1">
      <c r="A43" s="1"/>
      <c r="B43" s="1"/>
      <c r="C43" s="71"/>
      <c r="D43" s="17"/>
      <c r="E43" s="17"/>
      <c r="F43" s="21"/>
      <c r="G43" s="5"/>
      <c r="H43" s="4"/>
      <c r="I43" s="4"/>
      <c r="L43" s="22"/>
      <c r="S43" s="5"/>
      <c r="T43" s="3"/>
      <c r="U43" s="5"/>
      <c r="V43" s="5"/>
      <c r="W43" s="1"/>
      <c r="X43" s="1"/>
      <c r="Y43" s="5"/>
      <c r="Z43" s="5"/>
      <c r="AA43" s="5"/>
      <c r="AB43" s="5"/>
      <c r="AC43" s="5"/>
      <c r="AD43" s="5"/>
      <c r="AE43" s="5"/>
      <c r="AF43" s="5"/>
      <c r="AG43" s="5"/>
    </row>
    <row r="44" ht="14.25" customHeight="1">
      <c r="A44" s="1"/>
      <c r="B44" s="1"/>
      <c r="C44" s="71"/>
      <c r="D44" s="17"/>
      <c r="E44" s="17"/>
      <c r="F44" s="21"/>
      <c r="G44" s="5"/>
      <c r="H44" s="4"/>
      <c r="I44" s="4"/>
      <c r="L44" s="4"/>
      <c r="Q44" s="59"/>
      <c r="S44" s="5"/>
      <c r="T44" s="3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4.25" customHeight="1">
      <c r="A45" s="1"/>
      <c r="B45" s="1"/>
      <c r="C45" s="71"/>
      <c r="D45" s="17"/>
      <c r="E45" s="17"/>
      <c r="F45" s="21"/>
      <c r="G45" s="5"/>
      <c r="H45" s="4"/>
      <c r="I45" s="4"/>
      <c r="L45" s="4"/>
      <c r="Q45" s="59"/>
      <c r="S45" s="5"/>
      <c r="T45" s="1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4.25" customHeight="1">
      <c r="A46" s="5"/>
      <c r="B46" s="5"/>
      <c r="C46" s="5"/>
      <c r="D46" s="5"/>
      <c r="E46" s="5"/>
      <c r="F46" s="5"/>
      <c r="G46" s="5"/>
      <c r="H46" s="4"/>
      <c r="I46" s="4"/>
      <c r="L46" s="4"/>
      <c r="S46" s="5"/>
      <c r="T46" s="1"/>
      <c r="U46" s="1"/>
      <c r="V46" s="3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4.25" customHeight="1">
      <c r="A47" s="5"/>
      <c r="B47" s="5"/>
      <c r="C47" s="5"/>
      <c r="D47" s="5"/>
      <c r="E47" s="5"/>
      <c r="F47" s="5"/>
      <c r="G47" s="5"/>
      <c r="H47" s="4"/>
      <c r="I47" s="4"/>
      <c r="L47" s="22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4.25" customHeight="1">
      <c r="A48" s="5"/>
      <c r="B48" s="5"/>
      <c r="C48" s="5"/>
      <c r="D48" s="5"/>
      <c r="E48" s="5"/>
      <c r="F48" s="5"/>
      <c r="G48" s="5"/>
      <c r="H48" s="4"/>
      <c r="I48" s="4"/>
      <c r="L48" s="22"/>
      <c r="Q48" s="72"/>
      <c r="R48" s="13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4.25" customHeight="1">
      <c r="A49" s="5"/>
      <c r="B49" s="5"/>
      <c r="C49" s="5"/>
      <c r="D49" s="5"/>
      <c r="E49" s="5"/>
      <c r="F49" s="5"/>
      <c r="G49" s="5"/>
      <c r="H49" s="4"/>
      <c r="I49" s="4"/>
      <c r="L49" s="22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4.25" customHeight="1">
      <c r="A50" s="5"/>
      <c r="B50" s="5"/>
      <c r="C50" s="5"/>
      <c r="D50" s="5"/>
      <c r="E50" s="5"/>
      <c r="F50" s="5"/>
      <c r="G50" s="5"/>
      <c r="H50" s="4"/>
      <c r="I50" s="4"/>
      <c r="L50" s="22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4.25" customHeight="1">
      <c r="A51" s="5"/>
      <c r="B51" s="5"/>
      <c r="C51" s="5"/>
      <c r="D51" s="5"/>
      <c r="E51" s="5"/>
      <c r="F51" s="5"/>
      <c r="G51" s="5"/>
      <c r="H51" s="4"/>
      <c r="I51" s="4"/>
      <c r="L51" s="22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4.25" customHeight="1">
      <c r="A52" s="5"/>
      <c r="B52" s="5"/>
      <c r="C52" s="5"/>
      <c r="D52" s="5"/>
      <c r="E52" s="5"/>
      <c r="F52" s="5"/>
      <c r="G52" s="5"/>
      <c r="H52" s="4"/>
      <c r="I52" s="4"/>
      <c r="L52" s="22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4.25" customHeight="1">
      <c r="A53" s="5"/>
      <c r="B53" s="5"/>
      <c r="C53" s="5"/>
      <c r="D53" s="5"/>
      <c r="E53" s="5"/>
      <c r="F53" s="5"/>
      <c r="G53" s="5"/>
      <c r="H53" s="4"/>
      <c r="I53" s="4"/>
      <c r="L53" s="2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4.25" customHeight="1">
      <c r="A54" s="5"/>
      <c r="B54" s="5"/>
      <c r="C54" s="5"/>
      <c r="D54" s="5"/>
      <c r="E54" s="5"/>
      <c r="F54" s="5"/>
      <c r="G54" s="5"/>
      <c r="H54" s="4"/>
      <c r="I54" s="4"/>
      <c r="L54" s="22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4.25" customHeight="1">
      <c r="A55" s="5"/>
      <c r="B55" s="5"/>
      <c r="C55" s="5"/>
      <c r="D55" s="5"/>
      <c r="E55" s="5"/>
      <c r="F55" s="5"/>
      <c r="G55" s="5"/>
      <c r="H55" s="4"/>
      <c r="I55" s="4"/>
      <c r="L55" s="13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4.25" customHeight="1">
      <c r="A56" s="5"/>
      <c r="B56" s="5"/>
      <c r="C56" s="5"/>
      <c r="D56" s="5"/>
      <c r="E56" s="5"/>
      <c r="F56" s="5"/>
      <c r="G56" s="5"/>
      <c r="H56" s="4"/>
      <c r="I56" s="4"/>
      <c r="L56" s="13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4.25" customHeight="1">
      <c r="A57" s="5"/>
      <c r="B57" s="5"/>
      <c r="C57" s="5"/>
      <c r="D57" s="5"/>
      <c r="E57" s="5"/>
      <c r="F57" s="5"/>
      <c r="G57" s="5"/>
      <c r="H57" s="4"/>
      <c r="I57" s="4"/>
      <c r="L57" s="13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4.25" customHeight="1">
      <c r="A58" s="5"/>
      <c r="B58" s="5"/>
      <c r="C58" s="5"/>
      <c r="D58" s="5"/>
      <c r="E58" s="5"/>
      <c r="F58" s="5"/>
      <c r="G58" s="5"/>
      <c r="H58" s="4"/>
      <c r="I58" s="4"/>
      <c r="L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4.25" customHeight="1">
      <c r="A59" s="5"/>
      <c r="B59" s="5"/>
      <c r="C59" s="5"/>
      <c r="D59" s="5"/>
      <c r="E59" s="5"/>
      <c r="F59" s="5"/>
      <c r="G59" s="5"/>
      <c r="H59" s="4"/>
      <c r="I59" s="4"/>
      <c r="L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L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L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L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L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L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mergeCells count="9">
    <mergeCell ref="L23:N23"/>
    <mergeCell ref="L24:M24"/>
    <mergeCell ref="R1:T1"/>
    <mergeCell ref="L17:M17"/>
    <mergeCell ref="Y17:AB17"/>
    <mergeCell ref="L18:M18"/>
    <mergeCell ref="L19:M19"/>
    <mergeCell ref="Q19:T19"/>
    <mergeCell ref="L20:M20"/>
  </mergeCells>
  <conditionalFormatting sqref="A3:G42">
    <cfRule type="expression" dxfId="2" priority="1">
      <formula>$G3="לא"</formula>
    </cfRule>
  </conditionalFormatting>
  <conditionalFormatting sqref="A3:G42">
    <cfRule type="expression" dxfId="3" priority="2">
      <formula>$H3="בטוח"</formula>
    </cfRule>
  </conditionalFormatting>
  <conditionalFormatting sqref="L26:N32">
    <cfRule type="expression" dxfId="4" priority="3">
      <formula>$M26&gt;0</formula>
    </cfRule>
  </conditionalFormatting>
  <conditionalFormatting sqref="L26:N32">
    <cfRule type="expression" dxfId="5" priority="4">
      <formula>$M26&lt;0</formula>
    </cfRule>
  </conditionalFormatting>
  <conditionalFormatting sqref="B2">
    <cfRule type="beginsWith" dxfId="6" priority="5" operator="beginsWith" text="דיקטטורה">
      <formula>LEFT((B2),LEN("דיקטטורה"))=("דיקטטורה")</formula>
    </cfRule>
  </conditionalFormatting>
  <conditionalFormatting sqref="B2">
    <cfRule type="beginsWith" dxfId="7" priority="6" operator="beginsWith" text="עם ישראל">
      <formula>LEFT((B2),LEN("עם ישראל"))=("עם ישראל")</formula>
    </cfRule>
  </conditionalFormatting>
  <conditionalFormatting sqref="A3:G42">
    <cfRule type="expression" dxfId="8" priority="7">
      <formula>$G3="כן"</formula>
    </cfRule>
  </conditionalFormatting>
  <conditionalFormatting sqref="R2:T11">
    <cfRule type="expression" dxfId="9" priority="8">
      <formula>$R2&lt;=$E$2</formula>
    </cfRule>
  </conditionalFormatting>
  <conditionalFormatting sqref="P2">
    <cfRule type="notContainsBlanks" dxfId="4" priority="9">
      <formula>LEN(TRIM(P2))&gt;0</formula>
    </cfRule>
  </conditionalFormatting>
  <dataValidations>
    <dataValidation type="list" allowBlank="1" sqref="X19:X29">
      <formula1>$AB$1:$AB$2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53.38"/>
  </cols>
  <sheetData>
    <row r="1">
      <c r="A1" s="73" t="s">
        <v>121</v>
      </c>
      <c r="B1" s="74" t="s">
        <v>17</v>
      </c>
      <c r="C1" s="75">
        <v>0.2341</v>
      </c>
      <c r="D1" s="76">
        <v>1115049.0</v>
      </c>
      <c r="F1" s="59" t="s">
        <v>122</v>
      </c>
      <c r="G1" s="24">
        <v>4793641.0</v>
      </c>
      <c r="H1" s="59"/>
      <c r="I1" s="59"/>
    </row>
    <row r="2">
      <c r="A2" s="73" t="s">
        <v>123</v>
      </c>
      <c r="B2" s="74" t="s">
        <v>20</v>
      </c>
      <c r="C2" s="75">
        <v>0.1778</v>
      </c>
      <c r="D2" s="76">
        <v>847145.0</v>
      </c>
      <c r="F2" s="59" t="s">
        <v>25</v>
      </c>
      <c r="G2" s="24">
        <v>29947.0</v>
      </c>
      <c r="H2" s="59"/>
      <c r="I2" s="59"/>
    </row>
    <row r="3">
      <c r="A3" s="73" t="s">
        <v>124</v>
      </c>
      <c r="B3" s="74" t="s">
        <v>23</v>
      </c>
      <c r="C3" s="75">
        <v>0.1083</v>
      </c>
      <c r="D3" s="76">
        <v>516146.0</v>
      </c>
      <c r="F3" s="59" t="s">
        <v>9</v>
      </c>
      <c r="G3" s="77">
        <v>0.7145833333333333</v>
      </c>
      <c r="H3" s="59"/>
      <c r="I3" s="59"/>
    </row>
    <row r="4">
      <c r="A4" s="73" t="s">
        <v>125</v>
      </c>
      <c r="B4" s="74" t="s">
        <v>12</v>
      </c>
      <c r="C4" s="75">
        <v>0.0908</v>
      </c>
      <c r="D4" s="76">
        <v>432376.0</v>
      </c>
      <c r="H4" s="59"/>
      <c r="I4" s="59"/>
    </row>
    <row r="5">
      <c r="A5" s="73" t="s">
        <v>126</v>
      </c>
      <c r="B5" s="74" t="s">
        <v>28</v>
      </c>
      <c r="C5" s="75">
        <v>0.0824</v>
      </c>
      <c r="D5" s="76">
        <v>392644.0</v>
      </c>
      <c r="H5" s="59"/>
      <c r="I5" s="59"/>
    </row>
    <row r="6">
      <c r="A6" s="73" t="s">
        <v>127</v>
      </c>
      <c r="B6" s="74" t="s">
        <v>30</v>
      </c>
      <c r="C6" s="75">
        <v>0.0588</v>
      </c>
      <c r="D6" s="76">
        <v>280125.0</v>
      </c>
      <c r="H6" s="59"/>
      <c r="I6" s="59"/>
    </row>
    <row r="7">
      <c r="A7" s="73" t="s">
        <v>128</v>
      </c>
      <c r="B7" s="74" t="s">
        <v>33</v>
      </c>
      <c r="C7" s="75">
        <v>0.0449</v>
      </c>
      <c r="D7" s="76">
        <v>213655.0</v>
      </c>
      <c r="H7" s="59"/>
      <c r="I7" s="59"/>
    </row>
    <row r="8">
      <c r="A8" s="73" t="s">
        <v>129</v>
      </c>
      <c r="B8" s="74" t="s">
        <v>42</v>
      </c>
      <c r="C8" s="75">
        <v>0.0407</v>
      </c>
      <c r="D8" s="76">
        <v>193916.0</v>
      </c>
      <c r="H8" s="59"/>
      <c r="I8" s="59"/>
    </row>
    <row r="9">
      <c r="A9" s="73" t="s">
        <v>130</v>
      </c>
      <c r="B9" s="74" t="s">
        <v>40</v>
      </c>
      <c r="C9" s="75">
        <v>0.0375</v>
      </c>
      <c r="D9" s="76">
        <v>178661.0</v>
      </c>
      <c r="H9" s="59"/>
      <c r="I9" s="59"/>
    </row>
    <row r="10">
      <c r="A10" s="73" t="s">
        <v>131</v>
      </c>
      <c r="B10" s="74" t="s">
        <v>36</v>
      </c>
      <c r="C10" s="75">
        <v>0.0369</v>
      </c>
      <c r="D10" s="76">
        <v>175922.0</v>
      </c>
      <c r="H10" s="59"/>
      <c r="I10" s="59"/>
    </row>
    <row r="11">
      <c r="A11" s="73" t="s">
        <v>132</v>
      </c>
      <c r="B11" s="74" t="s">
        <v>39</v>
      </c>
      <c r="C11" s="75">
        <v>0.0316</v>
      </c>
      <c r="D11" s="76">
        <v>150696.0</v>
      </c>
      <c r="H11" s="59"/>
      <c r="I11" s="59"/>
    </row>
    <row r="12">
      <c r="A12" s="73" t="s">
        <v>133</v>
      </c>
      <c r="B12" s="74" t="s">
        <v>44</v>
      </c>
      <c r="C12" s="75">
        <v>0.029</v>
      </c>
      <c r="D12" s="76">
        <v>138093.0</v>
      </c>
      <c r="H12" s="59"/>
      <c r="I12" s="59"/>
    </row>
    <row r="13">
      <c r="A13" s="73" t="s">
        <v>134</v>
      </c>
      <c r="B13" s="74" t="s">
        <v>46</v>
      </c>
      <c r="C13" s="75">
        <v>0.0119</v>
      </c>
      <c r="D13" s="76">
        <v>56793.0</v>
      </c>
      <c r="H13" s="59"/>
      <c r="I13" s="59"/>
    </row>
    <row r="14">
      <c r="A14" s="73" t="s">
        <v>135</v>
      </c>
      <c r="B14" s="74" t="s">
        <v>57</v>
      </c>
      <c r="C14" s="75">
        <v>0.0033</v>
      </c>
      <c r="D14" s="76">
        <v>15817.0</v>
      </c>
      <c r="H14" s="59"/>
      <c r="I14" s="59"/>
    </row>
    <row r="15">
      <c r="A15" s="73" t="s">
        <v>115</v>
      </c>
      <c r="B15" s="74" t="s">
        <v>114</v>
      </c>
      <c r="C15" s="75">
        <v>0.0031</v>
      </c>
      <c r="D15" s="76">
        <v>14781.0</v>
      </c>
      <c r="H15" s="59"/>
      <c r="I15" s="59"/>
    </row>
    <row r="16">
      <c r="A16" s="73" t="s">
        <v>136</v>
      </c>
      <c r="B16" s="74" t="s">
        <v>48</v>
      </c>
      <c r="C16" s="75">
        <v>0.0029</v>
      </c>
      <c r="D16" s="76">
        <v>13911.0</v>
      </c>
      <c r="H16" s="59"/>
      <c r="I16" s="59"/>
    </row>
    <row r="17">
      <c r="A17" s="73" t="s">
        <v>137</v>
      </c>
      <c r="B17" s="74" t="s">
        <v>53</v>
      </c>
      <c r="C17" s="75">
        <v>0.0018</v>
      </c>
      <c r="D17" s="76">
        <v>8794.0</v>
      </c>
      <c r="H17" s="59"/>
      <c r="I17" s="59"/>
    </row>
    <row r="18">
      <c r="A18" s="73" t="s">
        <v>138</v>
      </c>
      <c r="B18" s="74" t="s">
        <v>97</v>
      </c>
      <c r="C18" s="75">
        <v>4.0E-4</v>
      </c>
      <c r="D18" s="76">
        <v>1728.0</v>
      </c>
      <c r="H18" s="59"/>
      <c r="I18" s="59"/>
    </row>
    <row r="19">
      <c r="A19" s="73" t="s">
        <v>139</v>
      </c>
      <c r="B19" s="74" t="s">
        <v>119</v>
      </c>
      <c r="C19" s="75">
        <v>4.0E-4</v>
      </c>
      <c r="D19" s="76">
        <v>1669.0</v>
      </c>
      <c r="H19" s="59"/>
      <c r="I19" s="59"/>
    </row>
    <row r="20">
      <c r="A20" s="73" t="s">
        <v>105</v>
      </c>
      <c r="B20" s="74" t="s">
        <v>104</v>
      </c>
      <c r="C20" s="75">
        <v>3.0E-4</v>
      </c>
      <c r="D20" s="76">
        <v>1619.0</v>
      </c>
      <c r="H20" s="59"/>
      <c r="I20" s="59"/>
    </row>
    <row r="21">
      <c r="A21" s="73" t="s">
        <v>140</v>
      </c>
      <c r="B21" s="74" t="s">
        <v>86</v>
      </c>
      <c r="C21" s="75">
        <v>3.0E-4</v>
      </c>
      <c r="D21" s="76">
        <v>1344.0</v>
      </c>
      <c r="H21" s="59"/>
      <c r="I21" s="59"/>
    </row>
    <row r="22">
      <c r="A22" s="73" t="s">
        <v>82</v>
      </c>
      <c r="B22" s="74" t="s">
        <v>81</v>
      </c>
      <c r="C22" s="75">
        <v>3.0E-4</v>
      </c>
      <c r="D22" s="76">
        <v>1321.0</v>
      </c>
      <c r="H22" s="59"/>
      <c r="I22" s="59"/>
    </row>
    <row r="23">
      <c r="A23" s="73" t="s">
        <v>141</v>
      </c>
      <c r="B23" s="74" t="s">
        <v>111</v>
      </c>
      <c r="C23" s="75">
        <v>3.0E-4</v>
      </c>
      <c r="D23" s="76">
        <v>1292.0</v>
      </c>
      <c r="H23" s="59"/>
      <c r="I23" s="59"/>
    </row>
    <row r="24">
      <c r="A24" s="73" t="s">
        <v>142</v>
      </c>
      <c r="B24" s="74" t="s">
        <v>93</v>
      </c>
      <c r="C24" s="75">
        <v>3.0E-4</v>
      </c>
      <c r="D24" s="76">
        <v>1213.0</v>
      </c>
      <c r="H24" s="59"/>
      <c r="I24" s="59"/>
    </row>
    <row r="25">
      <c r="A25" s="73" t="s">
        <v>143</v>
      </c>
      <c r="B25" s="74" t="s">
        <v>50</v>
      </c>
      <c r="C25" s="75">
        <v>2.0E-4</v>
      </c>
      <c r="D25" s="76">
        <v>1156.0</v>
      </c>
      <c r="H25" s="59"/>
      <c r="I25" s="59"/>
    </row>
    <row r="26">
      <c r="A26" s="73" t="s">
        <v>144</v>
      </c>
      <c r="B26" s="74" t="s">
        <v>108</v>
      </c>
      <c r="C26" s="75">
        <v>2.0E-4</v>
      </c>
      <c r="D26" s="76">
        <v>1078.0</v>
      </c>
      <c r="H26" s="59"/>
      <c r="I26" s="59"/>
    </row>
    <row r="27">
      <c r="A27" s="73" t="s">
        <v>145</v>
      </c>
      <c r="B27" s="74" t="s">
        <v>91</v>
      </c>
      <c r="C27" s="75">
        <v>2.0E-4</v>
      </c>
      <c r="D27" s="76">
        <v>1018.0</v>
      </c>
      <c r="H27" s="59"/>
      <c r="I27" s="59"/>
    </row>
    <row r="28">
      <c r="A28" s="73" t="s">
        <v>100</v>
      </c>
      <c r="B28" s="74" t="s">
        <v>99</v>
      </c>
      <c r="C28" s="75">
        <v>2.0E-4</v>
      </c>
      <c r="D28" s="78">
        <v>982.0</v>
      </c>
      <c r="H28" s="59"/>
      <c r="I28" s="59"/>
    </row>
    <row r="29">
      <c r="A29" s="73" t="s">
        <v>146</v>
      </c>
      <c r="B29" s="74" t="s">
        <v>117</v>
      </c>
      <c r="C29" s="75">
        <v>2.0E-4</v>
      </c>
      <c r="D29" s="78">
        <v>948.0</v>
      </c>
      <c r="H29" s="59"/>
      <c r="I29" s="59"/>
    </row>
    <row r="30">
      <c r="A30" s="73" t="s">
        <v>147</v>
      </c>
      <c r="B30" s="74" t="s">
        <v>84</v>
      </c>
      <c r="C30" s="75">
        <v>1.0E-4</v>
      </c>
      <c r="D30" s="78">
        <v>533.0</v>
      </c>
      <c r="H30" s="59"/>
      <c r="I30" s="59"/>
    </row>
    <row r="31">
      <c r="A31" s="73" t="s">
        <v>148</v>
      </c>
      <c r="B31" s="74" t="s">
        <v>61</v>
      </c>
      <c r="C31" s="75">
        <v>1.0E-4</v>
      </c>
      <c r="D31" s="78">
        <v>530.0</v>
      </c>
      <c r="H31" s="59"/>
      <c r="I31" s="59"/>
    </row>
    <row r="32">
      <c r="A32" s="73" t="s">
        <v>149</v>
      </c>
      <c r="B32" s="74" t="s">
        <v>79</v>
      </c>
      <c r="C32" s="75">
        <v>1.0E-4</v>
      </c>
      <c r="D32" s="78">
        <v>425.0</v>
      </c>
      <c r="H32" s="59"/>
      <c r="I32" s="59"/>
    </row>
    <row r="33">
      <c r="A33" s="73" t="s">
        <v>150</v>
      </c>
      <c r="B33" s="74" t="s">
        <v>95</v>
      </c>
      <c r="C33" s="75">
        <v>1.0E-4</v>
      </c>
      <c r="D33" s="78">
        <v>413.0</v>
      </c>
      <c r="H33" s="59"/>
      <c r="I33" s="59"/>
    </row>
    <row r="34">
      <c r="A34" s="73" t="s">
        <v>151</v>
      </c>
      <c r="B34" s="74" t="s">
        <v>106</v>
      </c>
      <c r="C34" s="75">
        <v>1.0E-4</v>
      </c>
      <c r="D34" s="78">
        <v>412.0</v>
      </c>
      <c r="H34" s="59"/>
      <c r="I34" s="59"/>
    </row>
    <row r="35">
      <c r="A35" s="73" t="s">
        <v>152</v>
      </c>
      <c r="B35" s="74" t="s">
        <v>69</v>
      </c>
      <c r="C35" s="75">
        <v>1.0E-4</v>
      </c>
      <c r="D35" s="78">
        <v>377.0</v>
      </c>
      <c r="H35" s="59"/>
      <c r="I35" s="59"/>
    </row>
    <row r="36">
      <c r="A36" s="73" t="s">
        <v>76</v>
      </c>
      <c r="B36" s="74" t="s">
        <v>75</v>
      </c>
      <c r="C36" s="75">
        <v>1.0E-4</v>
      </c>
      <c r="D36" s="78">
        <v>265.0</v>
      </c>
      <c r="H36" s="59"/>
      <c r="I36" s="59"/>
    </row>
    <row r="37">
      <c r="A37" s="73" t="s">
        <v>153</v>
      </c>
      <c r="B37" s="74" t="s">
        <v>88</v>
      </c>
      <c r="C37" s="75">
        <v>1.0E-4</v>
      </c>
      <c r="D37" s="78">
        <v>256.0</v>
      </c>
      <c r="H37" s="59"/>
      <c r="I37" s="59"/>
    </row>
    <row r="38">
      <c r="A38" s="73" t="s">
        <v>154</v>
      </c>
      <c r="B38" s="74" t="s">
        <v>72</v>
      </c>
      <c r="C38" s="75">
        <v>0.0</v>
      </c>
      <c r="D38" s="78">
        <v>234.0</v>
      </c>
      <c r="H38" s="59"/>
      <c r="I38" s="59"/>
    </row>
    <row r="39">
      <c r="A39" s="73" t="s">
        <v>155</v>
      </c>
      <c r="B39" s="74" t="s">
        <v>64</v>
      </c>
      <c r="C39" s="75">
        <v>0.0</v>
      </c>
      <c r="D39" s="76">
        <v>205.0</v>
      </c>
      <c r="H39" s="59"/>
      <c r="I39" s="59"/>
    </row>
    <row r="40">
      <c r="A40" s="73" t="s">
        <v>156</v>
      </c>
      <c r="B40" s="74" t="s">
        <v>66</v>
      </c>
      <c r="C40" s="75">
        <v>0.0</v>
      </c>
      <c r="D40" s="78">
        <v>152.0</v>
      </c>
      <c r="H40" s="59"/>
      <c r="I40" s="59"/>
    </row>
  </sheetData>
  <conditionalFormatting sqref="B1:B40">
    <cfRule type="expression" dxfId="2" priority="1">
      <formula>$F4="לא"</formula>
    </cfRule>
  </conditionalFormatting>
  <conditionalFormatting sqref="B1:B40">
    <cfRule type="expression" dxfId="3" priority="2">
      <formula>$F4="כן"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.25"/>
    <col customWidth="1" min="2" max="2" width="17.88"/>
    <col customWidth="1" min="3" max="3" width="9.0"/>
    <col customWidth="1" min="4" max="4" width="3.0"/>
    <col customWidth="1" min="5" max="5" width="6.13"/>
    <col customWidth="1" min="6" max="6" width="5.75"/>
    <col customWidth="1" min="7" max="7" width="4.88"/>
    <col customWidth="1" min="8" max="8" width="11.5"/>
    <col customWidth="1" min="9" max="9" width="9.0"/>
    <col customWidth="1" min="10" max="10" width="5.75"/>
    <col customWidth="1" min="11" max="11" width="11.5"/>
    <col customWidth="1" min="12" max="12" width="6.13"/>
    <col customWidth="1" min="13" max="13" width="9.0"/>
    <col customWidth="1" min="14" max="14" width="4.38"/>
    <col customWidth="1" min="15" max="15" width="9.0"/>
    <col customWidth="1" min="16" max="16" width="3.0"/>
    <col customWidth="1" min="17" max="17" width="5.75"/>
    <col customWidth="1" min="18" max="18" width="3.88"/>
    <col customWidth="1" min="19" max="19" width="7.5"/>
    <col customWidth="1" min="20" max="20" width="2.0"/>
    <col customWidth="1" min="21" max="21" width="5.75"/>
    <col customWidth="1" min="22" max="22" width="9.13"/>
    <col customWidth="1" min="23" max="23" width="9.0"/>
    <col customWidth="1" min="24" max="24" width="6.13"/>
    <col customWidth="1" min="25" max="29" width="11.5"/>
    <col customWidth="1" min="30" max="30" width="9.38"/>
    <col customWidth="1" min="31" max="31" width="5.88"/>
    <col customWidth="1" hidden="1" min="32" max="34" width="5.88"/>
    <col customWidth="1" min="35" max="36" width="11.5"/>
    <col customWidth="1" hidden="1" min="37" max="39" width="11.5"/>
    <col customWidth="1" min="40" max="40" width="11.13"/>
    <col customWidth="1" min="41" max="41" width="11.5"/>
    <col customWidth="1" hidden="1" min="42" max="44" width="11.5"/>
    <col customWidth="1" min="45" max="45" width="7.25"/>
    <col customWidth="1" min="46" max="46" width="5.88"/>
    <col customWidth="1" hidden="1" min="47" max="49" width="5.88"/>
    <col customWidth="1" min="50" max="50" width="7.38"/>
    <col customWidth="1" min="51" max="51" width="5.88"/>
    <col customWidth="1" hidden="1" min="52" max="54" width="5.88"/>
    <col customWidth="1" min="55" max="57" width="5.88"/>
    <col customWidth="1" min="58" max="58" width="11.75"/>
    <col customWidth="1" min="59" max="59" width="19.63"/>
    <col customWidth="1" min="60" max="60" width="5.88"/>
    <col customWidth="1" min="61" max="61" width="19.63"/>
    <col customWidth="1" min="62" max="62" width="5.88"/>
    <col customWidth="1" min="63" max="63" width="19.63"/>
    <col customWidth="1" min="64" max="64" width="3.88"/>
    <col customWidth="1" min="65" max="69" width="5.88"/>
  </cols>
  <sheetData>
    <row r="1" ht="14.25" customHeight="1">
      <c r="A1" s="79" t="s">
        <v>157</v>
      </c>
      <c r="B1" s="79" t="s">
        <v>158</v>
      </c>
      <c r="C1" s="79" t="s">
        <v>159</v>
      </c>
      <c r="D1" s="4"/>
      <c r="E1" s="79" t="s">
        <v>160</v>
      </c>
      <c r="F1" s="79" t="s">
        <v>161</v>
      </c>
      <c r="G1" s="79" t="s">
        <v>4</v>
      </c>
      <c r="H1" s="79" t="s">
        <v>162</v>
      </c>
      <c r="I1" s="44" t="s">
        <v>163</v>
      </c>
      <c r="J1" s="79" t="s">
        <v>161</v>
      </c>
      <c r="K1" s="79" t="s">
        <v>2</v>
      </c>
      <c r="L1" s="80" t="s">
        <v>164</v>
      </c>
      <c r="M1" s="4"/>
      <c r="N1" s="4"/>
      <c r="O1" s="4"/>
      <c r="P1" s="4"/>
      <c r="Q1" s="4"/>
      <c r="R1" s="4"/>
      <c r="S1" s="4"/>
      <c r="T1" s="4"/>
      <c r="U1" s="4"/>
      <c r="V1" s="4"/>
      <c r="W1" s="3" t="s">
        <v>165</v>
      </c>
      <c r="X1" s="5"/>
      <c r="Y1" s="3" t="s">
        <v>166</v>
      </c>
      <c r="Z1" s="5"/>
      <c r="AA1" s="5"/>
      <c r="AB1" s="5"/>
      <c r="AC1" s="5"/>
      <c r="AD1" s="3" t="s">
        <v>167</v>
      </c>
      <c r="AE1" s="5"/>
      <c r="AF1" s="5"/>
      <c r="AG1" s="5"/>
      <c r="AH1" s="5"/>
      <c r="AI1" s="3" t="s">
        <v>168</v>
      </c>
      <c r="AJ1" s="4"/>
      <c r="AK1" s="5"/>
      <c r="AL1" s="5"/>
      <c r="AM1" s="5"/>
      <c r="AN1" s="3" t="s">
        <v>169</v>
      </c>
      <c r="AO1" s="5"/>
      <c r="AP1" s="5"/>
      <c r="AQ1" s="5"/>
      <c r="AR1" s="4"/>
      <c r="AS1" s="3" t="s">
        <v>170</v>
      </c>
      <c r="AT1" s="5"/>
      <c r="AU1" s="5"/>
      <c r="AV1" s="5"/>
      <c r="AW1" s="5"/>
      <c r="AX1" s="1" t="s">
        <v>171</v>
      </c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4.25" customHeight="1">
      <c r="A2" s="4"/>
      <c r="B2" s="4">
        <f>COUNTIF(G3:G41, "כן")</f>
        <v>10</v>
      </c>
      <c r="C2" s="55">
        <f>SUM(C3:C41)</f>
        <v>4762025</v>
      </c>
      <c r="D2" s="4"/>
      <c r="E2" s="4"/>
      <c r="F2" s="4"/>
      <c r="G2" s="4"/>
      <c r="H2" s="81">
        <f>SUM(H3:H41)</f>
        <v>120</v>
      </c>
      <c r="I2" s="4"/>
      <c r="J2" s="4">
        <f>120-SUM(E3:E20)</f>
        <v>7</v>
      </c>
      <c r="K2" s="4">
        <f>(SUMIFS(C$3:C$32,G$3:G$32,"כן"))/120</f>
        <v>36213.65833</v>
      </c>
      <c r="L2" s="21">
        <v>0.0325</v>
      </c>
      <c r="M2" s="4"/>
      <c r="N2" s="4"/>
      <c r="O2" s="4"/>
      <c r="P2" s="4"/>
      <c r="Q2" s="79" t="s">
        <v>102</v>
      </c>
      <c r="R2" s="4"/>
      <c r="S2" s="4"/>
      <c r="T2" s="4"/>
      <c r="U2" s="79" t="s">
        <v>102</v>
      </c>
      <c r="V2" s="79" t="s">
        <v>172</v>
      </c>
      <c r="W2" s="79" t="s">
        <v>159</v>
      </c>
      <c r="X2" s="79" t="s">
        <v>14</v>
      </c>
      <c r="Y2" s="4">
        <v>1.0</v>
      </c>
      <c r="Z2" s="4">
        <v>2.0</v>
      </c>
      <c r="AA2" s="4">
        <v>3.0</v>
      </c>
      <c r="AB2" s="4">
        <v>4.0</v>
      </c>
      <c r="AC2" s="4">
        <v>5.0</v>
      </c>
      <c r="AD2" s="79" t="s">
        <v>173</v>
      </c>
      <c r="AE2" s="79" t="s">
        <v>174</v>
      </c>
      <c r="AF2" s="79" t="s">
        <v>175</v>
      </c>
      <c r="AG2" s="79" t="s">
        <v>176</v>
      </c>
      <c r="AH2" s="79" t="s">
        <v>177</v>
      </c>
      <c r="AI2" s="4">
        <v>1.0</v>
      </c>
      <c r="AJ2" s="4">
        <v>2.0</v>
      </c>
      <c r="AK2" s="4">
        <v>3.0</v>
      </c>
      <c r="AL2" s="4">
        <v>4.0</v>
      </c>
      <c r="AM2" s="4">
        <v>5.0</v>
      </c>
      <c r="AN2" s="4">
        <v>1.0</v>
      </c>
      <c r="AO2" s="4">
        <v>2.0</v>
      </c>
      <c r="AP2" s="4">
        <v>3.0</v>
      </c>
      <c r="AQ2" s="4">
        <v>4.0</v>
      </c>
      <c r="AR2" s="4">
        <v>5.0</v>
      </c>
      <c r="AS2" s="79" t="s">
        <v>173</v>
      </c>
      <c r="AT2" s="79" t="s">
        <v>174</v>
      </c>
      <c r="AU2" s="79" t="s">
        <v>175</v>
      </c>
      <c r="AV2" s="79" t="s">
        <v>176</v>
      </c>
      <c r="AW2" s="79" t="s">
        <v>177</v>
      </c>
      <c r="AX2" s="79" t="s">
        <v>173</v>
      </c>
      <c r="AY2" s="79" t="s">
        <v>174</v>
      </c>
      <c r="AZ2" s="79" t="s">
        <v>175</v>
      </c>
      <c r="BA2" s="79" t="s">
        <v>176</v>
      </c>
      <c r="BB2" s="79" t="s">
        <v>177</v>
      </c>
      <c r="BC2" s="4"/>
      <c r="BD2" s="4"/>
      <c r="BE2" s="79"/>
      <c r="BF2" s="79"/>
      <c r="BG2" s="79"/>
      <c r="BH2" s="79"/>
      <c r="BI2" s="79"/>
      <c r="BJ2" s="4"/>
      <c r="BK2" s="4"/>
      <c r="BL2" s="4"/>
      <c r="BM2" s="4"/>
      <c r="BN2" s="4"/>
      <c r="BO2" s="79"/>
      <c r="BP2" s="79"/>
      <c r="BQ2" s="79"/>
    </row>
    <row r="3" ht="14.25" customHeight="1">
      <c r="A3" s="1" t="s">
        <v>17</v>
      </c>
      <c r="B3" s="15" t="s">
        <v>18</v>
      </c>
      <c r="C3" s="82">
        <f>'תוצאות'!C3</f>
        <v>1115049</v>
      </c>
      <c r="D3" s="4">
        <f t="shared" ref="D3:D42" si="6">E3+F3</f>
        <v>32</v>
      </c>
      <c r="E3" s="5">
        <f t="shared" ref="E3:E42" si="7">ROUNDDOWN(H3,0)</f>
        <v>30</v>
      </c>
      <c r="F3" s="4">
        <f t="shared" ref="F3:F4" si="8">Q3</f>
        <v>2</v>
      </c>
      <c r="G3" s="4" t="str">
        <f t="shared" ref="G3:G42" si="9">IF((C3/(SUM($C$3:C$41))&gt;=$L$2), "כן", "לא")</f>
        <v>כן</v>
      </c>
      <c r="H3" s="81">
        <f t="shared" ref="H3:H42" si="10">IF(G3="כן", (C3/$K$2), 0)</f>
        <v>30.79084112</v>
      </c>
      <c r="I3" s="55">
        <f t="shared" ref="I3:I42" si="11">IF(G3="כן", $K$2*(E3+1)-C3, "")</f>
        <v>7574.408333</v>
      </c>
      <c r="J3" s="4"/>
      <c r="K3" s="4"/>
      <c r="L3" s="4"/>
      <c r="M3" s="4"/>
      <c r="N3" s="3" t="s">
        <v>17</v>
      </c>
      <c r="O3" s="82">
        <f t="shared" ref="O3:O4" si="12">C3</f>
        <v>1115049</v>
      </c>
      <c r="P3" s="5">
        <f t="shared" ref="P3:P4" si="13">E3</f>
        <v>30</v>
      </c>
      <c r="Q3" s="5">
        <f t="shared" ref="Q3:Q38" si="14">COUNTIF(AS3:AW3,"&lt;="&amp;V3)</f>
        <v>2</v>
      </c>
      <c r="R3" s="1" t="s">
        <v>23</v>
      </c>
      <c r="S3" s="82">
        <f t="shared" ref="S3:S4" si="15">C5</f>
        <v>516146</v>
      </c>
      <c r="T3" s="4">
        <f t="shared" ref="T3:T4" si="16">E5</f>
        <v>14</v>
      </c>
      <c r="U3" s="4">
        <f t="shared" ref="U3:U29" si="17">COUNTIF(AX3:BB3,"&lt;="&amp;V3)</f>
        <v>0</v>
      </c>
      <c r="V3" s="4">
        <f t="shared" ref="V3:V29" si="18">COUNTIF(AD3:AH3,"&lt;="&amp;J$2)</f>
        <v>2</v>
      </c>
      <c r="W3" s="55">
        <f t="shared" ref="W3:W29" si="19">IF(P3&gt;0, IF(T3&gt;0, O3+S3, O3), IF(T3&gt;0, S3, 0))</f>
        <v>1631195</v>
      </c>
      <c r="X3" s="4">
        <f t="shared" ref="X3:X11" si="20">P3+T3</f>
        <v>44</v>
      </c>
      <c r="Y3" s="83">
        <f t="shared" ref="Y3:AC3" si="1">IF(X3&gt;0, $W3/($X3+Y$2), 0)</f>
        <v>36248.77778</v>
      </c>
      <c r="Z3" s="83">
        <f t="shared" si="1"/>
        <v>35460.76087</v>
      </c>
      <c r="AA3" s="83">
        <f t="shared" si="1"/>
        <v>34706.2766</v>
      </c>
      <c r="AB3" s="83">
        <f t="shared" si="1"/>
        <v>33983.22917</v>
      </c>
      <c r="AC3" s="83">
        <f t="shared" si="1"/>
        <v>33289.69388</v>
      </c>
      <c r="AD3" s="4">
        <f t="shared" ref="AD3:AH3" si="2">RANK(Y3, $Y$3:$AC$29)</f>
        <v>3</v>
      </c>
      <c r="AE3" s="4">
        <f t="shared" si="2"/>
        <v>7</v>
      </c>
      <c r="AF3" s="4">
        <f t="shared" si="2"/>
        <v>10</v>
      </c>
      <c r="AG3" s="4">
        <f t="shared" si="2"/>
        <v>12</v>
      </c>
      <c r="AH3" s="4">
        <f t="shared" si="2"/>
        <v>15</v>
      </c>
      <c r="AI3" s="83">
        <f t="shared" ref="AI3:AM3" si="3">IF($P3&gt;0, $O3/($P3+AI$2), 0)</f>
        <v>35969.32258</v>
      </c>
      <c r="AJ3" s="83">
        <f t="shared" si="3"/>
        <v>34845.28125</v>
      </c>
      <c r="AK3" s="4">
        <f t="shared" si="3"/>
        <v>33789.36364</v>
      </c>
      <c r="AL3" s="4">
        <f t="shared" si="3"/>
        <v>32795.55882</v>
      </c>
      <c r="AM3" s="4">
        <f t="shared" si="3"/>
        <v>31858.54286</v>
      </c>
      <c r="AN3" s="83">
        <f t="shared" ref="AN3:AR3" si="4">IF($T3&gt;0, $S3/($T3+AN$2), 0)</f>
        <v>34409.73333</v>
      </c>
      <c r="AO3" s="83">
        <f t="shared" si="4"/>
        <v>32259.125</v>
      </c>
      <c r="AP3" s="4">
        <f t="shared" si="4"/>
        <v>30361.52941</v>
      </c>
      <c r="AQ3" s="4">
        <f t="shared" si="4"/>
        <v>28674.77778</v>
      </c>
      <c r="AR3" s="4">
        <f t="shared" si="4"/>
        <v>27165.57895</v>
      </c>
      <c r="AS3" s="4">
        <f t="shared" ref="AS3:BB3" si="5">RANK(AI3, $AI3:$AR3)</f>
        <v>1</v>
      </c>
      <c r="AT3" s="4">
        <f t="shared" si="5"/>
        <v>2</v>
      </c>
      <c r="AU3" s="4">
        <f t="shared" si="5"/>
        <v>4</v>
      </c>
      <c r="AV3" s="4">
        <f t="shared" si="5"/>
        <v>5</v>
      </c>
      <c r="AW3" s="4">
        <f t="shared" si="5"/>
        <v>7</v>
      </c>
      <c r="AX3" s="4">
        <f t="shared" si="5"/>
        <v>3</v>
      </c>
      <c r="AY3" s="4">
        <f t="shared" si="5"/>
        <v>6</v>
      </c>
      <c r="AZ3" s="4">
        <f t="shared" si="5"/>
        <v>8</v>
      </c>
      <c r="BA3" s="4">
        <f t="shared" si="5"/>
        <v>9</v>
      </c>
      <c r="BB3" s="4">
        <f t="shared" si="5"/>
        <v>10</v>
      </c>
      <c r="BC3" s="4"/>
      <c r="BD3" s="4"/>
      <c r="BE3" s="44" t="s">
        <v>17</v>
      </c>
      <c r="BF3" s="44" t="s">
        <v>23</v>
      </c>
      <c r="BG3" s="44"/>
      <c r="BH3" s="44"/>
      <c r="BI3" s="44" t="s">
        <v>178</v>
      </c>
      <c r="BJ3" s="22">
        <v>1.0</v>
      </c>
      <c r="BK3" s="4" t="str">
        <f t="shared" ref="BK3:BK29" si="26">BJ3&amp;BI3</f>
        <v>1ליכוד-ציונות דתית</v>
      </c>
      <c r="BL3" s="4" t="str">
        <f t="shared" ref="BL3:BL11" si="27">if(BJ3=AS3, $BE3, IF(BJ3=AT3, $BE3, IF(BJ3=AX3, BF3)))</f>
        <v>מחל</v>
      </c>
      <c r="BM3" s="4"/>
      <c r="BN3" s="4"/>
      <c r="BO3" s="22">
        <v>2.0</v>
      </c>
      <c r="BP3" s="4" t="str">
        <f t="shared" ref="BP3:BP11" si="28">if(AT3=BO3, $BE3, $BF3)</f>
        <v>מחל</v>
      </c>
      <c r="BQ3" s="4"/>
    </row>
    <row r="4" ht="14.25" customHeight="1">
      <c r="A4" s="1" t="s">
        <v>20</v>
      </c>
      <c r="B4" s="15" t="s">
        <v>21</v>
      </c>
      <c r="C4" s="82">
        <f>'תוצאות'!C4</f>
        <v>847145</v>
      </c>
      <c r="D4" s="4">
        <f t="shared" si="6"/>
        <v>24</v>
      </c>
      <c r="E4" s="5">
        <f t="shared" si="7"/>
        <v>23</v>
      </c>
      <c r="F4" s="4">
        <f t="shared" si="8"/>
        <v>1</v>
      </c>
      <c r="G4" s="4" t="str">
        <f t="shared" si="9"/>
        <v>כן</v>
      </c>
      <c r="H4" s="81">
        <f t="shared" si="10"/>
        <v>23.39296937</v>
      </c>
      <c r="I4" s="55">
        <f t="shared" si="11"/>
        <v>21982.8</v>
      </c>
      <c r="J4" s="4"/>
      <c r="K4" s="4"/>
      <c r="L4" s="4"/>
      <c r="M4" s="4"/>
      <c r="N4" s="1" t="s">
        <v>20</v>
      </c>
      <c r="O4" s="82">
        <f t="shared" si="12"/>
        <v>847145</v>
      </c>
      <c r="P4" s="5">
        <f t="shared" si="13"/>
        <v>23</v>
      </c>
      <c r="Q4" s="5">
        <f t="shared" si="14"/>
        <v>1</v>
      </c>
      <c r="R4" s="1" t="s">
        <v>12</v>
      </c>
      <c r="S4" s="82">
        <f t="shared" si="15"/>
        <v>432376</v>
      </c>
      <c r="T4" s="4">
        <f t="shared" si="16"/>
        <v>11</v>
      </c>
      <c r="U4" s="4">
        <f t="shared" si="17"/>
        <v>1</v>
      </c>
      <c r="V4" s="4">
        <f t="shared" si="18"/>
        <v>2</v>
      </c>
      <c r="W4" s="82">
        <f t="shared" si="19"/>
        <v>1279521</v>
      </c>
      <c r="X4" s="4">
        <f t="shared" si="20"/>
        <v>34</v>
      </c>
      <c r="Y4" s="83">
        <f t="shared" ref="Y4:AC4" si="21">IF(X4&gt;0, $W4/($X4+Y$2), 0)</f>
        <v>36557.74286</v>
      </c>
      <c r="Z4" s="83">
        <f t="shared" si="21"/>
        <v>35542.25</v>
      </c>
      <c r="AA4" s="83">
        <f t="shared" si="21"/>
        <v>34581.64865</v>
      </c>
      <c r="AB4" s="83">
        <f t="shared" si="21"/>
        <v>33671.60526</v>
      </c>
      <c r="AC4" s="83">
        <f t="shared" si="21"/>
        <v>32808.23077</v>
      </c>
      <c r="AD4" s="4">
        <f t="shared" ref="AD4:AH4" si="22">RANK(Y4, $Y$3:$AC$29)</f>
        <v>2</v>
      </c>
      <c r="AE4" s="4">
        <f t="shared" si="22"/>
        <v>6</v>
      </c>
      <c r="AF4" s="4">
        <f t="shared" si="22"/>
        <v>11</v>
      </c>
      <c r="AG4" s="4">
        <f t="shared" si="22"/>
        <v>13</v>
      </c>
      <c r="AH4" s="4">
        <f t="shared" si="22"/>
        <v>16</v>
      </c>
      <c r="AI4" s="83">
        <f t="shared" ref="AI4:AM4" si="23">IF($P4&gt;0, $O4/($P4+AI$2), 0)</f>
        <v>35297.70833</v>
      </c>
      <c r="AJ4" s="83">
        <f t="shared" si="23"/>
        <v>33885.8</v>
      </c>
      <c r="AK4" s="4">
        <f t="shared" si="23"/>
        <v>32582.5</v>
      </c>
      <c r="AL4" s="4">
        <f t="shared" si="23"/>
        <v>31375.74074</v>
      </c>
      <c r="AM4" s="4">
        <f t="shared" si="23"/>
        <v>30255.17857</v>
      </c>
      <c r="AN4" s="83">
        <f t="shared" ref="AN4:AR4" si="24">IF($T4&gt;0, $S4/($T4+AN$2), 0)</f>
        <v>36031.33333</v>
      </c>
      <c r="AO4" s="83">
        <f t="shared" si="24"/>
        <v>33259.69231</v>
      </c>
      <c r="AP4" s="4">
        <f t="shared" si="24"/>
        <v>30884</v>
      </c>
      <c r="AQ4" s="4">
        <f t="shared" si="24"/>
        <v>28825.06667</v>
      </c>
      <c r="AR4" s="4">
        <f t="shared" si="24"/>
        <v>27023.5</v>
      </c>
      <c r="AS4" s="4">
        <f t="shared" ref="AS4:BB4" si="25">RANK(AI4, $AI4:$AR4)</f>
        <v>2</v>
      </c>
      <c r="AT4" s="4">
        <f t="shared" si="25"/>
        <v>3</v>
      </c>
      <c r="AU4" s="4">
        <f t="shared" si="25"/>
        <v>5</v>
      </c>
      <c r="AV4" s="4">
        <f t="shared" si="25"/>
        <v>6</v>
      </c>
      <c r="AW4" s="4">
        <f t="shared" si="25"/>
        <v>8</v>
      </c>
      <c r="AX4" s="4">
        <f t="shared" si="25"/>
        <v>1</v>
      </c>
      <c r="AY4" s="4">
        <f t="shared" si="25"/>
        <v>4</v>
      </c>
      <c r="AZ4" s="4">
        <f t="shared" si="25"/>
        <v>7</v>
      </c>
      <c r="BA4" s="4">
        <f t="shared" si="25"/>
        <v>9</v>
      </c>
      <c r="BB4" s="4">
        <f t="shared" si="25"/>
        <v>10</v>
      </c>
      <c r="BC4" s="4"/>
      <c r="BD4" s="4"/>
      <c r="BE4" s="44" t="s">
        <v>20</v>
      </c>
      <c r="BF4" s="44" t="s">
        <v>12</v>
      </c>
      <c r="BG4" s="44"/>
      <c r="BH4" s="44"/>
      <c r="BI4" s="44" t="s">
        <v>179</v>
      </c>
      <c r="BJ4" s="22">
        <v>1.0</v>
      </c>
      <c r="BK4" s="4" t="str">
        <f t="shared" si="26"/>
        <v>1יש עתיד-המחנה הממלכתי</v>
      </c>
      <c r="BL4" s="4" t="str">
        <f t="shared" si="27"/>
        <v>כן</v>
      </c>
      <c r="BM4" s="4"/>
      <c r="BN4" s="4"/>
      <c r="BO4" s="22">
        <v>2.0</v>
      </c>
      <c r="BP4" s="4" t="str">
        <f t="shared" si="28"/>
        <v>כן</v>
      </c>
      <c r="BQ4" s="4"/>
    </row>
    <row r="5" ht="14.25" customHeight="1">
      <c r="A5" s="1" t="s">
        <v>23</v>
      </c>
      <c r="B5" s="15" t="s">
        <v>24</v>
      </c>
      <c r="C5" s="82">
        <f>'תוצאות'!C5</f>
        <v>516146</v>
      </c>
      <c r="D5" s="4">
        <f t="shared" si="6"/>
        <v>14</v>
      </c>
      <c r="E5" s="5">
        <f t="shared" si="7"/>
        <v>14</v>
      </c>
      <c r="F5" s="4">
        <f t="shared" ref="F5:F6" si="34">U3</f>
        <v>0</v>
      </c>
      <c r="G5" s="4" t="str">
        <f t="shared" si="9"/>
        <v>כן</v>
      </c>
      <c r="H5" s="81">
        <f t="shared" si="10"/>
        <v>14.25279919</v>
      </c>
      <c r="I5" s="55">
        <f t="shared" si="11"/>
        <v>27058.875</v>
      </c>
      <c r="J5" s="4"/>
      <c r="K5" s="4"/>
      <c r="L5" s="4"/>
      <c r="M5" s="4"/>
      <c r="N5" s="1" t="s">
        <v>28</v>
      </c>
      <c r="O5" s="82">
        <f>C7</f>
        <v>392644</v>
      </c>
      <c r="P5" s="5">
        <f>E7</f>
        <v>10</v>
      </c>
      <c r="Q5" s="5">
        <f t="shared" si="14"/>
        <v>1</v>
      </c>
      <c r="R5" s="1" t="s">
        <v>30</v>
      </c>
      <c r="S5" s="82">
        <f>C8</f>
        <v>280125</v>
      </c>
      <c r="T5" s="4">
        <f>E8</f>
        <v>7</v>
      </c>
      <c r="U5" s="4">
        <f t="shared" si="17"/>
        <v>0</v>
      </c>
      <c r="V5" s="4">
        <f t="shared" si="18"/>
        <v>1</v>
      </c>
      <c r="W5" s="82">
        <f t="shared" si="19"/>
        <v>672769</v>
      </c>
      <c r="X5" s="4">
        <f t="shared" si="20"/>
        <v>17</v>
      </c>
      <c r="Y5" s="83">
        <f t="shared" ref="Y5:AC5" si="29">IF(X5&gt;0, $W5/($X5+Y$2), 0)</f>
        <v>37376.05556</v>
      </c>
      <c r="Z5" s="83">
        <f t="shared" si="29"/>
        <v>35408.89474</v>
      </c>
      <c r="AA5" s="83">
        <f t="shared" si="29"/>
        <v>33638.45</v>
      </c>
      <c r="AB5" s="83">
        <f t="shared" si="29"/>
        <v>32036.61905</v>
      </c>
      <c r="AC5" s="83">
        <f t="shared" si="29"/>
        <v>30580.40909</v>
      </c>
      <c r="AD5" s="4">
        <f t="shared" ref="AD5:AH5" si="30">RANK(Y5, $Y$3:$AC$29)</f>
        <v>1</v>
      </c>
      <c r="AE5" s="4">
        <f t="shared" si="30"/>
        <v>8</v>
      </c>
      <c r="AF5" s="4">
        <f t="shared" si="30"/>
        <v>14</v>
      </c>
      <c r="AG5" s="4">
        <f t="shared" si="30"/>
        <v>18</v>
      </c>
      <c r="AH5" s="4">
        <f t="shared" si="30"/>
        <v>19</v>
      </c>
      <c r="AI5" s="83">
        <f t="shared" ref="AI5:AM5" si="31">IF($P5&gt;0, $O5/($P5+AI$2), 0)</f>
        <v>35694.90909</v>
      </c>
      <c r="AJ5" s="83">
        <f t="shared" si="31"/>
        <v>32720.33333</v>
      </c>
      <c r="AK5" s="4">
        <f t="shared" si="31"/>
        <v>30203.38462</v>
      </c>
      <c r="AL5" s="4">
        <f t="shared" si="31"/>
        <v>28046</v>
      </c>
      <c r="AM5" s="4">
        <f t="shared" si="31"/>
        <v>26176.26667</v>
      </c>
      <c r="AN5" s="83">
        <f t="shared" ref="AN5:AR5" si="32">IF($T5&gt;0, $S5/($T5+AN$2), 0)</f>
        <v>35015.625</v>
      </c>
      <c r="AO5" s="83">
        <f t="shared" si="32"/>
        <v>31125</v>
      </c>
      <c r="AP5" s="4">
        <f t="shared" si="32"/>
        <v>28012.5</v>
      </c>
      <c r="AQ5" s="4">
        <f t="shared" si="32"/>
        <v>25465.90909</v>
      </c>
      <c r="AR5" s="4">
        <f t="shared" si="32"/>
        <v>23343.75</v>
      </c>
      <c r="AS5" s="4">
        <f t="shared" ref="AS5:BB5" si="33">RANK(AI5, $AI5:$AR5)</f>
        <v>1</v>
      </c>
      <c r="AT5" s="4">
        <f t="shared" si="33"/>
        <v>3</v>
      </c>
      <c r="AU5" s="4">
        <f t="shared" si="33"/>
        <v>5</v>
      </c>
      <c r="AV5" s="4">
        <f t="shared" si="33"/>
        <v>6</v>
      </c>
      <c r="AW5" s="4">
        <f t="shared" si="33"/>
        <v>8</v>
      </c>
      <c r="AX5" s="4">
        <f t="shared" si="33"/>
        <v>2</v>
      </c>
      <c r="AY5" s="4">
        <f t="shared" si="33"/>
        <v>4</v>
      </c>
      <c r="AZ5" s="4">
        <f t="shared" si="33"/>
        <v>7</v>
      </c>
      <c r="BA5" s="4">
        <f t="shared" si="33"/>
        <v>9</v>
      </c>
      <c r="BB5" s="4">
        <f t="shared" si="33"/>
        <v>10</v>
      </c>
      <c r="BC5" s="4"/>
      <c r="BD5" s="4"/>
      <c r="BE5" s="44" t="s">
        <v>28</v>
      </c>
      <c r="BF5" s="44" t="s">
        <v>30</v>
      </c>
      <c r="BG5" s="44"/>
      <c r="BH5" s="44"/>
      <c r="BI5" s="44" t="s">
        <v>180</v>
      </c>
      <c r="BJ5" s="22">
        <v>1.0</v>
      </c>
      <c r="BK5" s="4" t="str">
        <f t="shared" si="26"/>
        <v>1ש"ס-יהדות התורה</v>
      </c>
      <c r="BL5" s="4" t="str">
        <f t="shared" si="27"/>
        <v>שס</v>
      </c>
      <c r="BM5" s="4"/>
      <c r="BN5" s="4"/>
      <c r="BO5" s="22">
        <v>2.0</v>
      </c>
      <c r="BP5" s="4" t="str">
        <f t="shared" si="28"/>
        <v>ג</v>
      </c>
      <c r="BQ5" s="4"/>
    </row>
    <row r="6" ht="14.25" customHeight="1">
      <c r="A6" s="1" t="s">
        <v>12</v>
      </c>
      <c r="B6" s="15" t="s">
        <v>26</v>
      </c>
      <c r="C6" s="82">
        <f>'תוצאות'!C6</f>
        <v>432376</v>
      </c>
      <c r="D6" s="4">
        <f t="shared" si="6"/>
        <v>12</v>
      </c>
      <c r="E6" s="5">
        <f t="shared" si="7"/>
        <v>11</v>
      </c>
      <c r="F6" s="4">
        <f t="shared" si="34"/>
        <v>1</v>
      </c>
      <c r="G6" s="4" t="str">
        <f t="shared" si="9"/>
        <v>כן</v>
      </c>
      <c r="H6" s="81">
        <f t="shared" si="10"/>
        <v>11.93958357</v>
      </c>
      <c r="I6" s="55">
        <f t="shared" si="11"/>
        <v>2187.9</v>
      </c>
      <c r="J6" s="4"/>
      <c r="K6" s="4"/>
      <c r="L6" s="4"/>
      <c r="M6" s="4"/>
      <c r="N6" s="1" t="s">
        <v>36</v>
      </c>
      <c r="O6" s="82">
        <f>C10</f>
        <v>175922</v>
      </c>
      <c r="P6" s="5">
        <f>E10</f>
        <v>4</v>
      </c>
      <c r="Q6" s="5">
        <f t="shared" si="14"/>
        <v>0</v>
      </c>
      <c r="R6" s="1" t="s">
        <v>39</v>
      </c>
      <c r="S6" s="82">
        <f>C11</f>
        <v>150696</v>
      </c>
      <c r="T6" s="4">
        <f>E11</f>
        <v>0</v>
      </c>
      <c r="U6" s="4">
        <f t="shared" si="17"/>
        <v>0</v>
      </c>
      <c r="V6" s="4">
        <f t="shared" si="18"/>
        <v>0</v>
      </c>
      <c r="W6" s="82">
        <f t="shared" si="19"/>
        <v>175922</v>
      </c>
      <c r="X6" s="4">
        <f t="shared" si="20"/>
        <v>4</v>
      </c>
      <c r="Y6" s="83">
        <f t="shared" ref="Y6:AC6" si="35">IF(X6&gt;0, $W6/($X6+Y$2), 0)</f>
        <v>35184.4</v>
      </c>
      <c r="Z6" s="83">
        <f t="shared" si="35"/>
        <v>29320.33333</v>
      </c>
      <c r="AA6" s="83">
        <f t="shared" si="35"/>
        <v>25131.71429</v>
      </c>
      <c r="AB6" s="83">
        <f t="shared" si="35"/>
        <v>21990.25</v>
      </c>
      <c r="AC6" s="83">
        <f t="shared" si="35"/>
        <v>19546.88889</v>
      </c>
      <c r="AD6" s="4">
        <f t="shared" ref="AD6:AH6" si="36">RANK(Y6, $Y$3:$AC$29)</f>
        <v>9</v>
      </c>
      <c r="AE6" s="4">
        <f t="shared" si="36"/>
        <v>22</v>
      </c>
      <c r="AF6" s="4">
        <f t="shared" si="36"/>
        <v>26</v>
      </c>
      <c r="AG6" s="4">
        <f t="shared" si="36"/>
        <v>30</v>
      </c>
      <c r="AH6" s="4">
        <f t="shared" si="36"/>
        <v>34</v>
      </c>
      <c r="AI6" s="83">
        <f t="shared" ref="AI6:AM6" si="37">IF($P6&gt;0, $O6/($P6+AI$2), 0)</f>
        <v>35184.4</v>
      </c>
      <c r="AJ6" s="83">
        <f t="shared" si="37"/>
        <v>29320.33333</v>
      </c>
      <c r="AK6" s="4">
        <f t="shared" si="37"/>
        <v>25131.71429</v>
      </c>
      <c r="AL6" s="4">
        <f t="shared" si="37"/>
        <v>21990.25</v>
      </c>
      <c r="AM6" s="4">
        <f t="shared" si="37"/>
        <v>19546.88889</v>
      </c>
      <c r="AN6" s="4">
        <f t="shared" ref="AN6:AR6" si="38">IF($T6&gt;0, $S6/($T6+AN$2), 0)</f>
        <v>0</v>
      </c>
      <c r="AO6" s="4">
        <f t="shared" si="38"/>
        <v>0</v>
      </c>
      <c r="AP6" s="4">
        <f t="shared" si="38"/>
        <v>0</v>
      </c>
      <c r="AQ6" s="4">
        <f t="shared" si="38"/>
        <v>0</v>
      </c>
      <c r="AR6" s="4">
        <f t="shared" si="38"/>
        <v>0</v>
      </c>
      <c r="AS6" s="4">
        <f t="shared" ref="AS6:BB6" si="39">RANK(AI6, $AI6:$AR6)</f>
        <v>1</v>
      </c>
      <c r="AT6" s="4">
        <f t="shared" si="39"/>
        <v>2</v>
      </c>
      <c r="AU6" s="4">
        <f t="shared" si="39"/>
        <v>3</v>
      </c>
      <c r="AV6" s="4">
        <f t="shared" si="39"/>
        <v>4</v>
      </c>
      <c r="AW6" s="4">
        <f t="shared" si="39"/>
        <v>5</v>
      </c>
      <c r="AX6" s="4">
        <f t="shared" si="39"/>
        <v>6</v>
      </c>
      <c r="AY6" s="4">
        <f t="shared" si="39"/>
        <v>6</v>
      </c>
      <c r="AZ6" s="4">
        <f t="shared" si="39"/>
        <v>6</v>
      </c>
      <c r="BA6" s="4">
        <f t="shared" si="39"/>
        <v>6</v>
      </c>
      <c r="BB6" s="4">
        <f t="shared" si="39"/>
        <v>6</v>
      </c>
      <c r="BC6" s="4"/>
      <c r="BD6" s="4"/>
      <c r="BE6" s="44" t="s">
        <v>36</v>
      </c>
      <c r="BF6" s="44" t="s">
        <v>39</v>
      </c>
      <c r="BG6" s="44"/>
      <c r="BH6" s="44"/>
      <c r="BI6" s="44" t="s">
        <v>181</v>
      </c>
      <c r="BJ6" s="22">
        <v>1.0</v>
      </c>
      <c r="BK6" s="4" t="str">
        <f t="shared" si="26"/>
        <v>1העבודה-מרצ</v>
      </c>
      <c r="BL6" s="4" t="str">
        <f t="shared" si="27"/>
        <v>אמת</v>
      </c>
      <c r="BM6" s="4"/>
      <c r="BN6" s="4"/>
      <c r="BO6" s="22">
        <v>2.0</v>
      </c>
      <c r="BP6" s="4" t="str">
        <f t="shared" si="28"/>
        <v>אמת</v>
      </c>
      <c r="BQ6" s="4"/>
    </row>
    <row r="7" ht="14.25" customHeight="1">
      <c r="A7" s="1" t="s">
        <v>28</v>
      </c>
      <c r="B7" s="15" t="s">
        <v>29</v>
      </c>
      <c r="C7" s="82">
        <f>'תוצאות'!C7</f>
        <v>392644</v>
      </c>
      <c r="D7" s="4">
        <f t="shared" si="6"/>
        <v>11</v>
      </c>
      <c r="E7" s="5">
        <f t="shared" si="7"/>
        <v>10</v>
      </c>
      <c r="F7" s="4">
        <f>Q5</f>
        <v>1</v>
      </c>
      <c r="G7" s="4" t="str">
        <f t="shared" si="9"/>
        <v>כן</v>
      </c>
      <c r="H7" s="81">
        <f t="shared" si="10"/>
        <v>10.84242847</v>
      </c>
      <c r="I7" s="55">
        <f t="shared" si="11"/>
        <v>5706.241667</v>
      </c>
      <c r="J7" s="4"/>
      <c r="K7" s="4"/>
      <c r="L7" s="4"/>
      <c r="M7" s="4"/>
      <c r="N7" s="1" t="s">
        <v>33</v>
      </c>
      <c r="O7" s="82">
        <f>C9</f>
        <v>213655</v>
      </c>
      <c r="P7" s="5">
        <f>E9</f>
        <v>5</v>
      </c>
      <c r="Q7" s="5">
        <f t="shared" si="14"/>
        <v>1</v>
      </c>
      <c r="R7" s="1"/>
      <c r="S7" s="82"/>
      <c r="T7" s="4"/>
      <c r="U7" s="4">
        <f t="shared" si="17"/>
        <v>0</v>
      </c>
      <c r="V7" s="4">
        <f t="shared" si="18"/>
        <v>1</v>
      </c>
      <c r="W7" s="82">
        <f t="shared" si="19"/>
        <v>213655</v>
      </c>
      <c r="X7" s="4">
        <f t="shared" si="20"/>
        <v>5</v>
      </c>
      <c r="Y7" s="83">
        <f t="shared" ref="Y7:AC7" si="40">IF(X7&gt;0, $W7/($X7+Y$2), 0)</f>
        <v>35609.16667</v>
      </c>
      <c r="Z7" s="83">
        <f t="shared" si="40"/>
        <v>30522.14286</v>
      </c>
      <c r="AA7" s="83">
        <f t="shared" si="40"/>
        <v>26706.875</v>
      </c>
      <c r="AB7" s="83">
        <f t="shared" si="40"/>
        <v>23739.44444</v>
      </c>
      <c r="AC7" s="83">
        <f t="shared" si="40"/>
        <v>21365.5</v>
      </c>
      <c r="AD7" s="4">
        <f t="shared" ref="AD7:AH7" si="41">RANK(Y7, $Y$3:$AC$29)</f>
        <v>5</v>
      </c>
      <c r="AE7" s="4">
        <f t="shared" si="41"/>
        <v>20</v>
      </c>
      <c r="AF7" s="4">
        <f t="shared" si="41"/>
        <v>24</v>
      </c>
      <c r="AG7" s="4">
        <f t="shared" si="41"/>
        <v>28</v>
      </c>
      <c r="AH7" s="4">
        <f t="shared" si="41"/>
        <v>32</v>
      </c>
      <c r="AI7" s="83">
        <f t="shared" ref="AI7:AM7" si="42">IF($P7&gt;0, $O7/($P7+AI$2), 0)</f>
        <v>35609.16667</v>
      </c>
      <c r="AJ7" s="83">
        <f t="shared" si="42"/>
        <v>30522.14286</v>
      </c>
      <c r="AK7" s="4">
        <f t="shared" si="42"/>
        <v>26706.875</v>
      </c>
      <c r="AL7" s="4">
        <f t="shared" si="42"/>
        <v>23739.44444</v>
      </c>
      <c r="AM7" s="4">
        <f t="shared" si="42"/>
        <v>21365.5</v>
      </c>
      <c r="AN7" s="4">
        <f t="shared" ref="AN7:AR7" si="43">IF($T7&gt;0, $S7/($T7+AN$2), 0)</f>
        <v>0</v>
      </c>
      <c r="AO7" s="4">
        <f t="shared" si="43"/>
        <v>0</v>
      </c>
      <c r="AP7" s="4">
        <f t="shared" si="43"/>
        <v>0</v>
      </c>
      <c r="AQ7" s="4">
        <f t="shared" si="43"/>
        <v>0</v>
      </c>
      <c r="AR7" s="4">
        <f t="shared" si="43"/>
        <v>0</v>
      </c>
      <c r="AS7" s="4">
        <f t="shared" ref="AS7:BB7" si="44">RANK(AI7, $AI7:$AR7)</f>
        <v>1</v>
      </c>
      <c r="AT7" s="4">
        <f t="shared" si="44"/>
        <v>2</v>
      </c>
      <c r="AU7" s="4">
        <f t="shared" si="44"/>
        <v>3</v>
      </c>
      <c r="AV7" s="4">
        <f t="shared" si="44"/>
        <v>4</v>
      </c>
      <c r="AW7" s="4">
        <f t="shared" si="44"/>
        <v>5</v>
      </c>
      <c r="AX7" s="4">
        <f t="shared" si="44"/>
        <v>6</v>
      </c>
      <c r="AY7" s="4">
        <f t="shared" si="44"/>
        <v>6</v>
      </c>
      <c r="AZ7" s="4">
        <f t="shared" si="44"/>
        <v>6</v>
      </c>
      <c r="BA7" s="4">
        <f t="shared" si="44"/>
        <v>6</v>
      </c>
      <c r="BB7" s="4">
        <f t="shared" si="44"/>
        <v>6</v>
      </c>
      <c r="BC7" s="4"/>
      <c r="BD7" s="4"/>
      <c r="BE7" s="44" t="s">
        <v>33</v>
      </c>
      <c r="BF7" s="4"/>
      <c r="BG7" s="44"/>
      <c r="BH7" s="44"/>
      <c r="BI7" s="44" t="s">
        <v>34</v>
      </c>
      <c r="BJ7" s="22">
        <v>1.0</v>
      </c>
      <c r="BK7" s="4" t="str">
        <f t="shared" si="26"/>
        <v>1ישראל ביתנו</v>
      </c>
      <c r="BL7" s="4" t="str">
        <f t="shared" si="27"/>
        <v>ל</v>
      </c>
      <c r="BM7" s="4"/>
      <c r="BN7" s="4"/>
      <c r="BO7" s="22">
        <v>2.0</v>
      </c>
      <c r="BP7" s="4" t="str">
        <f t="shared" si="28"/>
        <v>ל</v>
      </c>
      <c r="BQ7" s="4"/>
    </row>
    <row r="8" ht="14.25" customHeight="1">
      <c r="A8" s="1" t="s">
        <v>30</v>
      </c>
      <c r="B8" s="15" t="s">
        <v>31</v>
      </c>
      <c r="C8" s="82">
        <f>'תוצאות'!C8</f>
        <v>280125</v>
      </c>
      <c r="D8" s="4">
        <f t="shared" si="6"/>
        <v>7</v>
      </c>
      <c r="E8" s="5">
        <f t="shared" si="7"/>
        <v>7</v>
      </c>
      <c r="F8" s="4">
        <f>U5</f>
        <v>0</v>
      </c>
      <c r="G8" s="4" t="str">
        <f t="shared" si="9"/>
        <v>כן</v>
      </c>
      <c r="H8" s="81">
        <f t="shared" si="10"/>
        <v>7.735341109</v>
      </c>
      <c r="I8" s="55">
        <f t="shared" si="11"/>
        <v>9584.266667</v>
      </c>
      <c r="J8" s="4"/>
      <c r="K8" s="4"/>
      <c r="L8" s="4"/>
      <c r="M8" s="4"/>
      <c r="N8" s="1" t="s">
        <v>40</v>
      </c>
      <c r="O8" s="82">
        <f t="shared" ref="O8:O38" si="50">C12</f>
        <v>178661</v>
      </c>
      <c r="P8" s="4">
        <f t="shared" ref="P8:P38" si="51">E12</f>
        <v>4</v>
      </c>
      <c r="Q8" s="4">
        <f t="shared" si="14"/>
        <v>1</v>
      </c>
      <c r="R8" s="44"/>
      <c r="S8" s="82"/>
      <c r="T8" s="4"/>
      <c r="U8" s="4">
        <f t="shared" si="17"/>
        <v>0</v>
      </c>
      <c r="V8" s="4">
        <f t="shared" si="18"/>
        <v>1</v>
      </c>
      <c r="W8" s="82">
        <f t="shared" si="19"/>
        <v>178661</v>
      </c>
      <c r="X8" s="4">
        <f t="shared" si="20"/>
        <v>4</v>
      </c>
      <c r="Y8" s="83">
        <f t="shared" ref="Y8:AC8" si="45">IF(X8&gt;0, $W8/($X8+Y$2), 0)</f>
        <v>35732.2</v>
      </c>
      <c r="Z8" s="83">
        <f t="shared" si="45"/>
        <v>29776.83333</v>
      </c>
      <c r="AA8" s="83">
        <f t="shared" si="45"/>
        <v>25523</v>
      </c>
      <c r="AB8" s="83">
        <f t="shared" si="45"/>
        <v>22332.625</v>
      </c>
      <c r="AC8" s="83">
        <f t="shared" si="45"/>
        <v>19851.22222</v>
      </c>
      <c r="AD8" s="4">
        <f t="shared" ref="AD8:AH8" si="46">RANK(Y8, $Y$3:$AC$29)</f>
        <v>4</v>
      </c>
      <c r="AE8" s="4">
        <f t="shared" si="46"/>
        <v>21</v>
      </c>
      <c r="AF8" s="4">
        <f t="shared" si="46"/>
        <v>25</v>
      </c>
      <c r="AG8" s="4">
        <f t="shared" si="46"/>
        <v>29</v>
      </c>
      <c r="AH8" s="4">
        <f t="shared" si="46"/>
        <v>33</v>
      </c>
      <c r="AI8" s="83">
        <f t="shared" ref="AI8:AM8" si="47">IF($P8&gt;0, $O8/($P8+AI$2), 0)</f>
        <v>35732.2</v>
      </c>
      <c r="AJ8" s="83">
        <f t="shared" si="47"/>
        <v>29776.83333</v>
      </c>
      <c r="AK8" s="4">
        <f t="shared" si="47"/>
        <v>25523</v>
      </c>
      <c r="AL8" s="4">
        <f t="shared" si="47"/>
        <v>22332.625</v>
      </c>
      <c r="AM8" s="4">
        <f t="shared" si="47"/>
        <v>19851.22222</v>
      </c>
      <c r="AN8" s="4">
        <f t="shared" ref="AN8:AR8" si="48">IF($T8&gt;0, $S8/($T8+AN$2), 0)</f>
        <v>0</v>
      </c>
      <c r="AO8" s="4">
        <f t="shared" si="48"/>
        <v>0</v>
      </c>
      <c r="AP8" s="4">
        <f t="shared" si="48"/>
        <v>0</v>
      </c>
      <c r="AQ8" s="4">
        <f t="shared" si="48"/>
        <v>0</v>
      </c>
      <c r="AR8" s="4">
        <f t="shared" si="48"/>
        <v>0</v>
      </c>
      <c r="AS8" s="4">
        <f t="shared" ref="AS8:BB8" si="49">RANK(AI8, $AI8:$AR8)</f>
        <v>1</v>
      </c>
      <c r="AT8" s="4">
        <f t="shared" si="49"/>
        <v>2</v>
      </c>
      <c r="AU8" s="4">
        <f t="shared" si="49"/>
        <v>3</v>
      </c>
      <c r="AV8" s="4">
        <f t="shared" si="49"/>
        <v>4</v>
      </c>
      <c r="AW8" s="4">
        <f t="shared" si="49"/>
        <v>5</v>
      </c>
      <c r="AX8" s="4">
        <f t="shared" si="49"/>
        <v>6</v>
      </c>
      <c r="AY8" s="4">
        <f t="shared" si="49"/>
        <v>6</v>
      </c>
      <c r="AZ8" s="4">
        <f t="shared" si="49"/>
        <v>6</v>
      </c>
      <c r="BA8" s="4">
        <f t="shared" si="49"/>
        <v>6</v>
      </c>
      <c r="BB8" s="4">
        <f t="shared" si="49"/>
        <v>6</v>
      </c>
      <c r="BC8" s="4"/>
      <c r="BD8" s="4"/>
      <c r="BE8" s="44" t="s">
        <v>40</v>
      </c>
      <c r="BF8" s="4"/>
      <c r="BG8" s="44"/>
      <c r="BH8" s="44"/>
      <c r="BI8" s="44" t="s">
        <v>41</v>
      </c>
      <c r="BJ8" s="22">
        <v>1.0</v>
      </c>
      <c r="BK8" s="4" t="str">
        <f t="shared" si="26"/>
        <v>1חד"ש-תע"ל</v>
      </c>
      <c r="BL8" s="4" t="str">
        <f t="shared" si="27"/>
        <v>ום</v>
      </c>
      <c r="BM8" s="4"/>
      <c r="BN8" s="4"/>
      <c r="BO8" s="22">
        <v>2.0</v>
      </c>
      <c r="BP8" s="4" t="str">
        <f t="shared" si="28"/>
        <v>ום</v>
      </c>
      <c r="BQ8" s="4"/>
    </row>
    <row r="9" ht="14.25" customHeight="1">
      <c r="A9" s="1" t="s">
        <v>33</v>
      </c>
      <c r="B9" s="15" t="s">
        <v>34</v>
      </c>
      <c r="C9" s="82">
        <f>'תוצאות'!C9</f>
        <v>213655</v>
      </c>
      <c r="D9" s="4">
        <f t="shared" si="6"/>
        <v>6</v>
      </c>
      <c r="E9" s="5">
        <f t="shared" si="7"/>
        <v>5</v>
      </c>
      <c r="F9" s="4">
        <f>Q7</f>
        <v>1</v>
      </c>
      <c r="G9" s="4" t="str">
        <f t="shared" si="9"/>
        <v>כן</v>
      </c>
      <c r="H9" s="81">
        <f t="shared" si="10"/>
        <v>5.899845799</v>
      </c>
      <c r="I9" s="55">
        <f t="shared" si="11"/>
        <v>3626.95</v>
      </c>
      <c r="J9" s="4"/>
      <c r="K9" s="4"/>
      <c r="L9" s="4"/>
      <c r="M9" s="4"/>
      <c r="N9" s="44" t="s">
        <v>42</v>
      </c>
      <c r="O9" s="82">
        <f t="shared" si="50"/>
        <v>193916</v>
      </c>
      <c r="P9" s="5">
        <f t="shared" si="51"/>
        <v>5</v>
      </c>
      <c r="Q9" s="4">
        <f t="shared" si="14"/>
        <v>0</v>
      </c>
      <c r="R9" s="44"/>
      <c r="S9" s="82"/>
      <c r="T9" s="4"/>
      <c r="U9" s="4">
        <f t="shared" si="17"/>
        <v>0</v>
      </c>
      <c r="V9" s="4">
        <f t="shared" si="18"/>
        <v>0</v>
      </c>
      <c r="W9" s="82">
        <f t="shared" si="19"/>
        <v>193916</v>
      </c>
      <c r="X9" s="4">
        <f t="shared" si="20"/>
        <v>5</v>
      </c>
      <c r="Y9" s="83">
        <f t="shared" ref="Y9:AC9" si="52">IF(X9&gt;0, $W9/($X9+Y$2), 0)</f>
        <v>32319.33333</v>
      </c>
      <c r="Z9" s="83">
        <f t="shared" si="52"/>
        <v>27702.28571</v>
      </c>
      <c r="AA9" s="83">
        <f t="shared" si="52"/>
        <v>24239.5</v>
      </c>
      <c r="AB9" s="83">
        <f t="shared" si="52"/>
        <v>21546.22222</v>
      </c>
      <c r="AC9" s="83">
        <f t="shared" si="52"/>
        <v>19391.6</v>
      </c>
      <c r="AD9" s="4">
        <f t="shared" ref="AD9:AH9" si="53">RANK(Y9, $Y$3:$AC$29)</f>
        <v>17</v>
      </c>
      <c r="AE9" s="4">
        <f t="shared" si="53"/>
        <v>23</v>
      </c>
      <c r="AF9" s="4">
        <f t="shared" si="53"/>
        <v>27</v>
      </c>
      <c r="AG9" s="4">
        <f t="shared" si="53"/>
        <v>31</v>
      </c>
      <c r="AH9" s="4">
        <f t="shared" si="53"/>
        <v>35</v>
      </c>
      <c r="AI9" s="83">
        <f t="shared" ref="AI9:AM9" si="54">IF($P9&gt;0, $O9/($P9+AI$2), 0)</f>
        <v>32319.33333</v>
      </c>
      <c r="AJ9" s="83">
        <f t="shared" si="54"/>
        <v>27702.28571</v>
      </c>
      <c r="AK9" s="4">
        <f t="shared" si="54"/>
        <v>24239.5</v>
      </c>
      <c r="AL9" s="4">
        <f t="shared" si="54"/>
        <v>21546.22222</v>
      </c>
      <c r="AM9" s="4">
        <f t="shared" si="54"/>
        <v>19391.6</v>
      </c>
      <c r="AN9" s="4">
        <f t="shared" ref="AN9:AR9" si="55">IF($T9&gt;0, $S9/($T9+AN$2), 0)</f>
        <v>0</v>
      </c>
      <c r="AO9" s="4">
        <f t="shared" si="55"/>
        <v>0</v>
      </c>
      <c r="AP9" s="4">
        <f t="shared" si="55"/>
        <v>0</v>
      </c>
      <c r="AQ9" s="4">
        <f t="shared" si="55"/>
        <v>0</v>
      </c>
      <c r="AR9" s="4">
        <f t="shared" si="55"/>
        <v>0</v>
      </c>
      <c r="AS9" s="4">
        <f t="shared" ref="AS9:BB9" si="56">RANK(AI9, $AI9:$AR9)</f>
        <v>1</v>
      </c>
      <c r="AT9" s="4">
        <f t="shared" si="56"/>
        <v>2</v>
      </c>
      <c r="AU9" s="4">
        <f t="shared" si="56"/>
        <v>3</v>
      </c>
      <c r="AV9" s="4">
        <f t="shared" si="56"/>
        <v>4</v>
      </c>
      <c r="AW9" s="4">
        <f t="shared" si="56"/>
        <v>5</v>
      </c>
      <c r="AX9" s="4">
        <f t="shared" si="56"/>
        <v>6</v>
      </c>
      <c r="AY9" s="4">
        <f t="shared" si="56"/>
        <v>6</v>
      </c>
      <c r="AZ9" s="4">
        <f t="shared" si="56"/>
        <v>6</v>
      </c>
      <c r="BA9" s="4">
        <f t="shared" si="56"/>
        <v>6</v>
      </c>
      <c r="BB9" s="4">
        <f t="shared" si="56"/>
        <v>6</v>
      </c>
      <c r="BC9" s="4"/>
      <c r="BD9" s="4"/>
      <c r="BE9" s="44" t="s">
        <v>42</v>
      </c>
      <c r="BF9" s="4"/>
      <c r="BG9" s="44"/>
      <c r="BH9" s="44"/>
      <c r="BI9" s="44" t="s">
        <v>43</v>
      </c>
      <c r="BJ9" s="22">
        <v>1.0</v>
      </c>
      <c r="BK9" s="4" t="str">
        <f t="shared" si="26"/>
        <v>1רע"ם</v>
      </c>
      <c r="BL9" s="4" t="str">
        <f t="shared" si="27"/>
        <v>עם</v>
      </c>
      <c r="BM9" s="4"/>
      <c r="BN9" s="4"/>
      <c r="BO9" s="22">
        <v>2.0</v>
      </c>
      <c r="BP9" s="4" t="str">
        <f t="shared" si="28"/>
        <v>עם</v>
      </c>
      <c r="BQ9" s="4"/>
    </row>
    <row r="10" ht="14.25" customHeight="1">
      <c r="A10" s="1" t="s">
        <v>36</v>
      </c>
      <c r="B10" s="15" t="s">
        <v>37</v>
      </c>
      <c r="C10" s="82">
        <f>'תוצאות'!C10</f>
        <v>175922</v>
      </c>
      <c r="D10" s="4">
        <f t="shared" si="6"/>
        <v>4</v>
      </c>
      <c r="E10" s="5">
        <f t="shared" si="7"/>
        <v>4</v>
      </c>
      <c r="F10" s="4">
        <f>Q6</f>
        <v>0</v>
      </c>
      <c r="G10" s="4" t="str">
        <f t="shared" si="9"/>
        <v>כן</v>
      </c>
      <c r="H10" s="81">
        <f t="shared" si="10"/>
        <v>4.857890865</v>
      </c>
      <c r="I10" s="55">
        <f t="shared" si="11"/>
        <v>5146.291667</v>
      </c>
      <c r="J10" s="4"/>
      <c r="K10" s="4"/>
      <c r="L10" s="4"/>
      <c r="M10" s="4"/>
      <c r="N10" s="44" t="s">
        <v>44</v>
      </c>
      <c r="O10" s="82">
        <f t="shared" si="50"/>
        <v>138093</v>
      </c>
      <c r="P10" s="4">
        <f t="shared" si="51"/>
        <v>0</v>
      </c>
      <c r="Q10" s="4">
        <f t="shared" si="14"/>
        <v>0</v>
      </c>
      <c r="R10" s="4"/>
      <c r="S10" s="4"/>
      <c r="T10" s="4"/>
      <c r="U10" s="4">
        <f t="shared" si="17"/>
        <v>0</v>
      </c>
      <c r="V10" s="4">
        <f t="shared" si="18"/>
        <v>0</v>
      </c>
      <c r="W10" s="5">
        <f t="shared" si="19"/>
        <v>0</v>
      </c>
      <c r="X10" s="4">
        <f t="shared" si="20"/>
        <v>0</v>
      </c>
      <c r="Y10" s="4">
        <f t="shared" ref="Y10:AC10" si="57">IF(X10&gt;0, $W10/($X10+Y$2), 0)</f>
        <v>0</v>
      </c>
      <c r="Z10" s="4">
        <f t="shared" si="57"/>
        <v>0</v>
      </c>
      <c r="AA10" s="4">
        <f t="shared" si="57"/>
        <v>0</v>
      </c>
      <c r="AB10" s="4">
        <f t="shared" si="57"/>
        <v>0</v>
      </c>
      <c r="AC10" s="4">
        <f t="shared" si="57"/>
        <v>0</v>
      </c>
      <c r="AD10" s="4">
        <f t="shared" ref="AD10:AH10" si="58">RANK(Y10, $Y$3:$AC$29)</f>
        <v>36</v>
      </c>
      <c r="AE10" s="4">
        <f t="shared" si="58"/>
        <v>36</v>
      </c>
      <c r="AF10" s="4">
        <f t="shared" si="58"/>
        <v>36</v>
      </c>
      <c r="AG10" s="4">
        <f t="shared" si="58"/>
        <v>36</v>
      </c>
      <c r="AH10" s="4">
        <f t="shared" si="58"/>
        <v>36</v>
      </c>
      <c r="AI10" s="4">
        <f t="shared" ref="AI10:AM10" si="59">IF($P10&gt;0, $O10/($P10+AI$2), 0)</f>
        <v>0</v>
      </c>
      <c r="AJ10" s="4">
        <f t="shared" si="59"/>
        <v>0</v>
      </c>
      <c r="AK10" s="4">
        <f t="shared" si="59"/>
        <v>0</v>
      </c>
      <c r="AL10" s="4">
        <f t="shared" si="59"/>
        <v>0</v>
      </c>
      <c r="AM10" s="4">
        <f t="shared" si="59"/>
        <v>0</v>
      </c>
      <c r="AN10" s="4">
        <f t="shared" ref="AN10:AR10" si="60">IF($T10&gt;0, $S10/($T10+AN$2), 0)</f>
        <v>0</v>
      </c>
      <c r="AO10" s="4">
        <f t="shared" si="60"/>
        <v>0</v>
      </c>
      <c r="AP10" s="4">
        <f t="shared" si="60"/>
        <v>0</v>
      </c>
      <c r="AQ10" s="4">
        <f t="shared" si="60"/>
        <v>0</v>
      </c>
      <c r="AR10" s="4">
        <f t="shared" si="60"/>
        <v>0</v>
      </c>
      <c r="AS10" s="4">
        <f t="shared" ref="AS10:BB10" si="61">RANK(AI10, $AI10:$AR10)</f>
        <v>1</v>
      </c>
      <c r="AT10" s="4">
        <f t="shared" si="61"/>
        <v>1</v>
      </c>
      <c r="AU10" s="4">
        <f t="shared" si="61"/>
        <v>1</v>
      </c>
      <c r="AV10" s="4">
        <f t="shared" si="61"/>
        <v>1</v>
      </c>
      <c r="AW10" s="4">
        <f t="shared" si="61"/>
        <v>1</v>
      </c>
      <c r="AX10" s="4">
        <f t="shared" si="61"/>
        <v>1</v>
      </c>
      <c r="AY10" s="4">
        <f t="shared" si="61"/>
        <v>1</v>
      </c>
      <c r="AZ10" s="4">
        <f t="shared" si="61"/>
        <v>1</v>
      </c>
      <c r="BA10" s="4">
        <f t="shared" si="61"/>
        <v>1</v>
      </c>
      <c r="BB10" s="4">
        <f t="shared" si="61"/>
        <v>1</v>
      </c>
      <c r="BC10" s="4"/>
      <c r="BD10" s="4"/>
      <c r="BE10" s="44" t="s">
        <v>44</v>
      </c>
      <c r="BF10" s="4"/>
      <c r="BG10" s="44"/>
      <c r="BH10" s="44"/>
      <c r="BI10" s="44" t="s">
        <v>45</v>
      </c>
      <c r="BJ10" s="22">
        <v>1.0</v>
      </c>
      <c r="BK10" s="4" t="str">
        <f t="shared" si="26"/>
        <v>1בל"ד</v>
      </c>
      <c r="BL10" s="4" t="str">
        <f t="shared" si="27"/>
        <v>ד</v>
      </c>
      <c r="BM10" s="4"/>
      <c r="BN10" s="4"/>
      <c r="BO10" s="22">
        <v>2.0</v>
      </c>
      <c r="BP10" s="4" t="str">
        <f t="shared" si="28"/>
        <v/>
      </c>
      <c r="BQ10" s="4"/>
    </row>
    <row r="11" ht="14.25" customHeight="1">
      <c r="A11" s="1" t="s">
        <v>39</v>
      </c>
      <c r="B11" s="15" t="s">
        <v>39</v>
      </c>
      <c r="C11" s="82">
        <f>'תוצאות'!C11</f>
        <v>150696</v>
      </c>
      <c r="D11" s="4">
        <f t="shared" si="6"/>
        <v>0</v>
      </c>
      <c r="E11" s="5">
        <f t="shared" si="7"/>
        <v>0</v>
      </c>
      <c r="F11" s="4">
        <f>U6</f>
        <v>0</v>
      </c>
      <c r="G11" s="4" t="str">
        <f t="shared" si="9"/>
        <v>לא</v>
      </c>
      <c r="H11" s="81">
        <f t="shared" si="10"/>
        <v>0</v>
      </c>
      <c r="I11" s="4" t="str">
        <f t="shared" si="11"/>
        <v/>
      </c>
      <c r="J11" s="4"/>
      <c r="K11" s="4"/>
      <c r="L11" s="4"/>
      <c r="M11" s="4"/>
      <c r="N11" s="44" t="s">
        <v>46</v>
      </c>
      <c r="O11" s="82">
        <f t="shared" si="50"/>
        <v>56793</v>
      </c>
      <c r="P11" s="5">
        <f t="shared" si="51"/>
        <v>0</v>
      </c>
      <c r="Q11" s="4">
        <f t="shared" si="14"/>
        <v>0</v>
      </c>
      <c r="R11" s="4"/>
      <c r="S11" s="4"/>
      <c r="T11" s="4"/>
      <c r="U11" s="4">
        <f t="shared" si="17"/>
        <v>0</v>
      </c>
      <c r="V11" s="4">
        <f t="shared" si="18"/>
        <v>0</v>
      </c>
      <c r="W11" s="5">
        <f t="shared" si="19"/>
        <v>0</v>
      </c>
      <c r="X11" s="4">
        <f t="shared" si="20"/>
        <v>0</v>
      </c>
      <c r="Y11" s="4">
        <f t="shared" ref="Y11:AC11" si="62">IF(X11&gt;0, $W11/($X11+Y$2), 0)</f>
        <v>0</v>
      </c>
      <c r="Z11" s="4">
        <f t="shared" si="62"/>
        <v>0</v>
      </c>
      <c r="AA11" s="4">
        <f t="shared" si="62"/>
        <v>0</v>
      </c>
      <c r="AB11" s="4">
        <f t="shared" si="62"/>
        <v>0</v>
      </c>
      <c r="AC11" s="4">
        <f t="shared" si="62"/>
        <v>0</v>
      </c>
      <c r="AD11" s="4">
        <f t="shared" ref="AD11:AH11" si="63">RANK(Y11, $Y$3:$AC$29)</f>
        <v>36</v>
      </c>
      <c r="AE11" s="4">
        <f t="shared" si="63"/>
        <v>36</v>
      </c>
      <c r="AF11" s="4">
        <f t="shared" si="63"/>
        <v>36</v>
      </c>
      <c r="AG11" s="4">
        <f t="shared" si="63"/>
        <v>36</v>
      </c>
      <c r="AH11" s="4">
        <f t="shared" si="63"/>
        <v>36</v>
      </c>
      <c r="AI11" s="4">
        <f t="shared" ref="AI11:AM11" si="64">IF($P11&gt;0, $O11/($P11+AI$2), 0)</f>
        <v>0</v>
      </c>
      <c r="AJ11" s="4">
        <f t="shared" si="64"/>
        <v>0</v>
      </c>
      <c r="AK11" s="4">
        <f t="shared" si="64"/>
        <v>0</v>
      </c>
      <c r="AL11" s="4">
        <f t="shared" si="64"/>
        <v>0</v>
      </c>
      <c r="AM11" s="4">
        <f t="shared" si="64"/>
        <v>0</v>
      </c>
      <c r="AN11" s="4">
        <f t="shared" ref="AN11:AR11" si="65">IF($T11&gt;0, $S11/($T11+AN$2), 0)</f>
        <v>0</v>
      </c>
      <c r="AO11" s="4">
        <f t="shared" si="65"/>
        <v>0</v>
      </c>
      <c r="AP11" s="4">
        <f t="shared" si="65"/>
        <v>0</v>
      </c>
      <c r="AQ11" s="4">
        <f t="shared" si="65"/>
        <v>0</v>
      </c>
      <c r="AR11" s="4">
        <f t="shared" si="65"/>
        <v>0</v>
      </c>
      <c r="AS11" s="4">
        <f t="shared" ref="AS11:BB11" si="66">RANK(AI11, $AI11:$AR11)</f>
        <v>1</v>
      </c>
      <c r="AT11" s="4">
        <f t="shared" si="66"/>
        <v>1</v>
      </c>
      <c r="AU11" s="4">
        <f t="shared" si="66"/>
        <v>1</v>
      </c>
      <c r="AV11" s="4">
        <f t="shared" si="66"/>
        <v>1</v>
      </c>
      <c r="AW11" s="4">
        <f t="shared" si="66"/>
        <v>1</v>
      </c>
      <c r="AX11" s="4">
        <f t="shared" si="66"/>
        <v>1</v>
      </c>
      <c r="AY11" s="4">
        <f t="shared" si="66"/>
        <v>1</v>
      </c>
      <c r="AZ11" s="4">
        <f t="shared" si="66"/>
        <v>1</v>
      </c>
      <c r="BA11" s="4">
        <f t="shared" si="66"/>
        <v>1</v>
      </c>
      <c r="BB11" s="4">
        <f t="shared" si="66"/>
        <v>1</v>
      </c>
      <c r="BC11" s="4"/>
      <c r="BD11" s="4"/>
      <c r="BE11" s="44" t="s">
        <v>46</v>
      </c>
      <c r="BF11" s="4"/>
      <c r="BG11" s="4"/>
      <c r="BH11" s="4"/>
      <c r="BI11" s="44" t="s">
        <v>47</v>
      </c>
      <c r="BJ11" s="22">
        <v>1.0</v>
      </c>
      <c r="BK11" s="4" t="str">
        <f t="shared" si="26"/>
        <v>1הבית היהודי</v>
      </c>
      <c r="BL11" s="4" t="str">
        <f t="shared" si="27"/>
        <v>ב</v>
      </c>
      <c r="BM11" s="4"/>
      <c r="BN11" s="4"/>
      <c r="BO11" s="22">
        <v>2.0</v>
      </c>
      <c r="BP11" s="4" t="str">
        <f t="shared" si="28"/>
        <v/>
      </c>
      <c r="BQ11" s="4"/>
    </row>
    <row r="12" ht="14.25" customHeight="1">
      <c r="A12" s="1" t="s">
        <v>40</v>
      </c>
      <c r="B12" s="15" t="s">
        <v>41</v>
      </c>
      <c r="C12" s="82">
        <f>'תוצאות'!C12</f>
        <v>178661</v>
      </c>
      <c r="D12" s="4">
        <f t="shared" si="6"/>
        <v>5</v>
      </c>
      <c r="E12" s="5">
        <f t="shared" si="7"/>
        <v>4</v>
      </c>
      <c r="F12" s="4">
        <f t="shared" ref="F12:F42" si="72">Q8</f>
        <v>1</v>
      </c>
      <c r="G12" s="4" t="str">
        <f t="shared" si="9"/>
        <v>כן</v>
      </c>
      <c r="H12" s="81">
        <f t="shared" si="10"/>
        <v>4.933525311</v>
      </c>
      <c r="I12" s="55">
        <f t="shared" si="11"/>
        <v>2407.291667</v>
      </c>
      <c r="J12" s="4"/>
      <c r="K12" s="4"/>
      <c r="L12" s="4"/>
      <c r="M12" s="4"/>
      <c r="N12" s="79" t="s">
        <v>48</v>
      </c>
      <c r="O12" s="82">
        <f t="shared" si="50"/>
        <v>13911</v>
      </c>
      <c r="P12" s="4">
        <f t="shared" si="51"/>
        <v>0</v>
      </c>
      <c r="Q12" s="4">
        <f t="shared" si="14"/>
        <v>0</v>
      </c>
      <c r="R12" s="4"/>
      <c r="S12" s="4"/>
      <c r="T12" s="4"/>
      <c r="U12" s="4">
        <f t="shared" si="17"/>
        <v>0</v>
      </c>
      <c r="V12" s="4">
        <f t="shared" si="18"/>
        <v>0</v>
      </c>
      <c r="W12" s="5">
        <f t="shared" si="19"/>
        <v>0</v>
      </c>
      <c r="X12" s="4">
        <f t="shared" ref="X12:X29" si="73">P12+T13</f>
        <v>0</v>
      </c>
      <c r="Y12" s="4">
        <f t="shared" ref="Y12:AC12" si="67">IF(X12&gt;0, $W12/($X12+Y$2), 0)</f>
        <v>0</v>
      </c>
      <c r="Z12" s="4">
        <f t="shared" si="67"/>
        <v>0</v>
      </c>
      <c r="AA12" s="4">
        <f t="shared" si="67"/>
        <v>0</v>
      </c>
      <c r="AB12" s="4">
        <f t="shared" si="67"/>
        <v>0</v>
      </c>
      <c r="AC12" s="4">
        <f t="shared" si="67"/>
        <v>0</v>
      </c>
      <c r="AD12" s="4">
        <f t="shared" ref="AD12:AH12" si="68">RANK(Y12, $Y$3:$AC$29)</f>
        <v>36</v>
      </c>
      <c r="AE12" s="4">
        <f t="shared" si="68"/>
        <v>36</v>
      </c>
      <c r="AF12" s="4">
        <f t="shared" si="68"/>
        <v>36</v>
      </c>
      <c r="AG12" s="4">
        <f t="shared" si="68"/>
        <v>36</v>
      </c>
      <c r="AH12" s="4">
        <f t="shared" si="68"/>
        <v>36</v>
      </c>
      <c r="AI12" s="4">
        <f t="shared" ref="AI12:AM12" si="69">IF($P12&gt;0, $O12/($P12+AI$2), 0)</f>
        <v>0</v>
      </c>
      <c r="AJ12" s="4">
        <f t="shared" si="69"/>
        <v>0</v>
      </c>
      <c r="AK12" s="4">
        <f t="shared" si="69"/>
        <v>0</v>
      </c>
      <c r="AL12" s="4">
        <f t="shared" si="69"/>
        <v>0</v>
      </c>
      <c r="AM12" s="4">
        <f t="shared" si="69"/>
        <v>0</v>
      </c>
      <c r="AN12" s="4">
        <f t="shared" ref="AN12:AR12" si="70">IF($T13&gt;0, $S13/($T13+AN$2), 0)</f>
        <v>0</v>
      </c>
      <c r="AO12" s="4">
        <f t="shared" si="70"/>
        <v>0</v>
      </c>
      <c r="AP12" s="4">
        <f t="shared" si="70"/>
        <v>0</v>
      </c>
      <c r="AQ12" s="4">
        <f t="shared" si="70"/>
        <v>0</v>
      </c>
      <c r="AR12" s="4">
        <f t="shared" si="70"/>
        <v>0</v>
      </c>
      <c r="AS12" s="4">
        <f t="shared" ref="AS12:BB12" si="71">RANK(AI12, $AI12:$AR12)</f>
        <v>1</v>
      </c>
      <c r="AT12" s="4">
        <f t="shared" si="71"/>
        <v>1</v>
      </c>
      <c r="AU12" s="4">
        <f t="shared" si="71"/>
        <v>1</v>
      </c>
      <c r="AV12" s="4">
        <f t="shared" si="71"/>
        <v>1</v>
      </c>
      <c r="AW12" s="4">
        <f t="shared" si="71"/>
        <v>1</v>
      </c>
      <c r="AX12" s="4">
        <f t="shared" si="71"/>
        <v>1</v>
      </c>
      <c r="AY12" s="4">
        <f t="shared" si="71"/>
        <v>1</v>
      </c>
      <c r="AZ12" s="4">
        <f t="shared" si="71"/>
        <v>1</v>
      </c>
      <c r="BA12" s="4">
        <f t="shared" si="71"/>
        <v>1</v>
      </c>
      <c r="BB12" s="4">
        <f t="shared" si="71"/>
        <v>1</v>
      </c>
      <c r="BC12" s="4"/>
      <c r="BD12" s="4"/>
      <c r="BE12" s="4"/>
      <c r="BF12" s="4"/>
      <c r="BG12" s="4"/>
      <c r="BH12" s="4"/>
      <c r="BI12" s="44" t="s">
        <v>178</v>
      </c>
      <c r="BJ12" s="22">
        <v>2.0</v>
      </c>
      <c r="BK12" s="4" t="str">
        <f t="shared" si="26"/>
        <v>2ליכוד-ציונות דתית</v>
      </c>
      <c r="BL12" s="4" t="str">
        <f t="shared" ref="BL12:BL20" si="79">if(BJ12=AS3, $BE3, IF(BJ12=AT3, $BE3, IF(BJ12=AX3, BF3, "")))</f>
        <v>מחל</v>
      </c>
      <c r="BM12" s="4"/>
      <c r="BN12" s="4"/>
      <c r="BO12" s="4"/>
      <c r="BP12" s="4"/>
      <c r="BQ12" s="4"/>
    </row>
    <row r="13" ht="14.25" customHeight="1">
      <c r="A13" s="1" t="s">
        <v>42</v>
      </c>
      <c r="B13" s="15" t="s">
        <v>43</v>
      </c>
      <c r="C13" s="82">
        <f>'תוצאות'!C13</f>
        <v>193916</v>
      </c>
      <c r="D13" s="4">
        <f t="shared" si="6"/>
        <v>5</v>
      </c>
      <c r="E13" s="5">
        <f t="shared" si="7"/>
        <v>5</v>
      </c>
      <c r="F13" s="4">
        <f t="shared" si="72"/>
        <v>0</v>
      </c>
      <c r="G13" s="4" t="str">
        <f t="shared" si="9"/>
        <v>כן</v>
      </c>
      <c r="H13" s="81">
        <f t="shared" si="10"/>
        <v>5.354775213</v>
      </c>
      <c r="I13" s="55">
        <f t="shared" si="11"/>
        <v>23365.95</v>
      </c>
      <c r="J13" s="4"/>
      <c r="K13" s="4"/>
      <c r="L13" s="4"/>
      <c r="M13" s="4"/>
      <c r="N13" s="79" t="s">
        <v>50</v>
      </c>
      <c r="O13" s="82">
        <f t="shared" si="50"/>
        <v>1156</v>
      </c>
      <c r="P13" s="5">
        <f t="shared" si="51"/>
        <v>0</v>
      </c>
      <c r="Q13" s="4">
        <f t="shared" si="14"/>
        <v>0</v>
      </c>
      <c r="R13" s="4"/>
      <c r="S13" s="4"/>
      <c r="T13" s="4"/>
      <c r="U13" s="4">
        <f t="shared" si="17"/>
        <v>0</v>
      </c>
      <c r="V13" s="4">
        <f t="shared" si="18"/>
        <v>0</v>
      </c>
      <c r="W13" s="5">
        <f t="shared" si="19"/>
        <v>0</v>
      </c>
      <c r="X13" s="4">
        <f t="shared" si="73"/>
        <v>0</v>
      </c>
      <c r="Y13" s="4">
        <f t="shared" ref="Y13:AC13" si="74">IF(X13&gt;0, $W13/($X13+Y$2), 0)</f>
        <v>0</v>
      </c>
      <c r="Z13" s="4">
        <f t="shared" si="74"/>
        <v>0</v>
      </c>
      <c r="AA13" s="4">
        <f t="shared" si="74"/>
        <v>0</v>
      </c>
      <c r="AB13" s="4">
        <f t="shared" si="74"/>
        <v>0</v>
      </c>
      <c r="AC13" s="4">
        <f t="shared" si="74"/>
        <v>0</v>
      </c>
      <c r="AD13" s="4">
        <f t="shared" ref="AD13:AH13" si="75">RANK(Y13, $Y$3:$AC$29)</f>
        <v>36</v>
      </c>
      <c r="AE13" s="4">
        <f t="shared" si="75"/>
        <v>36</v>
      </c>
      <c r="AF13" s="4">
        <f t="shared" si="75"/>
        <v>36</v>
      </c>
      <c r="AG13" s="4">
        <f t="shared" si="75"/>
        <v>36</v>
      </c>
      <c r="AH13" s="4">
        <f t="shared" si="75"/>
        <v>36</v>
      </c>
      <c r="AI13" s="4">
        <f t="shared" ref="AI13:AM13" si="76">IF($P13&gt;0, $O13/($P13+AI$2), 0)</f>
        <v>0</v>
      </c>
      <c r="AJ13" s="4">
        <f t="shared" si="76"/>
        <v>0</v>
      </c>
      <c r="AK13" s="4">
        <f t="shared" si="76"/>
        <v>0</v>
      </c>
      <c r="AL13" s="4">
        <f t="shared" si="76"/>
        <v>0</v>
      </c>
      <c r="AM13" s="4">
        <f t="shared" si="76"/>
        <v>0</v>
      </c>
      <c r="AN13" s="4">
        <f t="shared" ref="AN13:AR13" si="77">IF($T14&gt;0, $S14/($T14+AN$2), 0)</f>
        <v>0</v>
      </c>
      <c r="AO13" s="4">
        <f t="shared" si="77"/>
        <v>0</v>
      </c>
      <c r="AP13" s="4">
        <f t="shared" si="77"/>
        <v>0</v>
      </c>
      <c r="AQ13" s="4">
        <f t="shared" si="77"/>
        <v>0</v>
      </c>
      <c r="AR13" s="4">
        <f t="shared" si="77"/>
        <v>0</v>
      </c>
      <c r="AS13" s="4">
        <f t="shared" ref="AS13:BB13" si="78">RANK(AI13, $AI13:$AR13)</f>
        <v>1</v>
      </c>
      <c r="AT13" s="4">
        <f t="shared" si="78"/>
        <v>1</v>
      </c>
      <c r="AU13" s="4">
        <f t="shared" si="78"/>
        <v>1</v>
      </c>
      <c r="AV13" s="4">
        <f t="shared" si="78"/>
        <v>1</v>
      </c>
      <c r="AW13" s="4">
        <f t="shared" si="78"/>
        <v>1</v>
      </c>
      <c r="AX13" s="4">
        <f t="shared" si="78"/>
        <v>1</v>
      </c>
      <c r="AY13" s="4">
        <f t="shared" si="78"/>
        <v>1</v>
      </c>
      <c r="AZ13" s="4">
        <f t="shared" si="78"/>
        <v>1</v>
      </c>
      <c r="BA13" s="4">
        <f t="shared" si="78"/>
        <v>1</v>
      </c>
      <c r="BB13" s="4">
        <f t="shared" si="78"/>
        <v>1</v>
      </c>
      <c r="BC13" s="4"/>
      <c r="BD13" s="4"/>
      <c r="BE13" s="4"/>
      <c r="BF13" s="4"/>
      <c r="BG13" s="4"/>
      <c r="BH13" s="4"/>
      <c r="BI13" s="44" t="s">
        <v>179</v>
      </c>
      <c r="BJ13" s="22">
        <v>2.0</v>
      </c>
      <c r="BK13" s="4" t="str">
        <f t="shared" si="26"/>
        <v>2יש עתיד-המחנה הממלכתי</v>
      </c>
      <c r="BL13" s="4" t="str">
        <f t="shared" si="79"/>
        <v>פה</v>
      </c>
      <c r="BM13" s="4"/>
      <c r="BN13" s="4"/>
      <c r="BO13" s="4"/>
      <c r="BP13" s="4"/>
      <c r="BQ13" s="4"/>
    </row>
    <row r="14" ht="14.25" customHeight="1">
      <c r="A14" s="1" t="s">
        <v>44</v>
      </c>
      <c r="B14" s="15" t="s">
        <v>45</v>
      </c>
      <c r="C14" s="82">
        <f>'תוצאות'!C14</f>
        <v>138093</v>
      </c>
      <c r="D14" s="4">
        <f t="shared" si="6"/>
        <v>0</v>
      </c>
      <c r="E14" s="4">
        <f t="shared" si="7"/>
        <v>0</v>
      </c>
      <c r="F14" s="4">
        <f t="shared" si="72"/>
        <v>0</v>
      </c>
      <c r="G14" s="4" t="str">
        <f t="shared" si="9"/>
        <v>לא</v>
      </c>
      <c r="H14" s="81">
        <f t="shared" si="10"/>
        <v>0</v>
      </c>
      <c r="I14" s="4" t="str">
        <f t="shared" si="11"/>
        <v/>
      </c>
      <c r="J14" s="4"/>
      <c r="K14" s="4"/>
      <c r="L14" s="4"/>
      <c r="M14" s="4"/>
      <c r="N14" s="79" t="s">
        <v>53</v>
      </c>
      <c r="O14" s="82">
        <f t="shared" si="50"/>
        <v>8794</v>
      </c>
      <c r="P14" s="4">
        <f t="shared" si="51"/>
        <v>0</v>
      </c>
      <c r="Q14" s="4">
        <f t="shared" si="14"/>
        <v>0</v>
      </c>
      <c r="R14" s="4"/>
      <c r="S14" s="4"/>
      <c r="T14" s="4"/>
      <c r="U14" s="4">
        <f t="shared" si="17"/>
        <v>0</v>
      </c>
      <c r="V14" s="4">
        <f t="shared" si="18"/>
        <v>0</v>
      </c>
      <c r="W14" s="5">
        <f t="shared" si="19"/>
        <v>0</v>
      </c>
      <c r="X14" s="4">
        <f t="shared" si="73"/>
        <v>0</v>
      </c>
      <c r="Y14" s="4">
        <f t="shared" ref="Y14:AC14" si="80">IF(X14&gt;0, $W14/($X14+Y$2), 0)</f>
        <v>0</v>
      </c>
      <c r="Z14" s="4">
        <f t="shared" si="80"/>
        <v>0</v>
      </c>
      <c r="AA14" s="4">
        <f t="shared" si="80"/>
        <v>0</v>
      </c>
      <c r="AB14" s="4">
        <f t="shared" si="80"/>
        <v>0</v>
      </c>
      <c r="AC14" s="4">
        <f t="shared" si="80"/>
        <v>0</v>
      </c>
      <c r="AD14" s="4">
        <f t="shared" ref="AD14:AH14" si="81">RANK(Y14, $Y$3:$AC$29)</f>
        <v>36</v>
      </c>
      <c r="AE14" s="4">
        <f t="shared" si="81"/>
        <v>36</v>
      </c>
      <c r="AF14" s="4">
        <f t="shared" si="81"/>
        <v>36</v>
      </c>
      <c r="AG14" s="4">
        <f t="shared" si="81"/>
        <v>36</v>
      </c>
      <c r="AH14" s="4">
        <f t="shared" si="81"/>
        <v>36</v>
      </c>
      <c r="AI14" s="4">
        <f t="shared" ref="AI14:AM14" si="82">IF($P14&gt;0, $O14/($P14+AI$2), 0)</f>
        <v>0</v>
      </c>
      <c r="AJ14" s="4">
        <f t="shared" si="82"/>
        <v>0</v>
      </c>
      <c r="AK14" s="4">
        <f t="shared" si="82"/>
        <v>0</v>
      </c>
      <c r="AL14" s="4">
        <f t="shared" si="82"/>
        <v>0</v>
      </c>
      <c r="AM14" s="4">
        <f t="shared" si="82"/>
        <v>0</v>
      </c>
      <c r="AN14" s="4">
        <f t="shared" ref="AN14:AR14" si="83">IF($T15&gt;0, $S15/($T15+AN$2), 0)</f>
        <v>0</v>
      </c>
      <c r="AO14" s="4">
        <f t="shared" si="83"/>
        <v>0</v>
      </c>
      <c r="AP14" s="4">
        <f t="shared" si="83"/>
        <v>0</v>
      </c>
      <c r="AQ14" s="4">
        <f t="shared" si="83"/>
        <v>0</v>
      </c>
      <c r="AR14" s="4">
        <f t="shared" si="83"/>
        <v>0</v>
      </c>
      <c r="AS14" s="4">
        <f t="shared" ref="AS14:BB14" si="84">RANK(AI14, $AI14:$AR14)</f>
        <v>1</v>
      </c>
      <c r="AT14" s="4">
        <f t="shared" si="84"/>
        <v>1</v>
      </c>
      <c r="AU14" s="4">
        <f t="shared" si="84"/>
        <v>1</v>
      </c>
      <c r="AV14" s="4">
        <f t="shared" si="84"/>
        <v>1</v>
      </c>
      <c r="AW14" s="4">
        <f t="shared" si="84"/>
        <v>1</v>
      </c>
      <c r="AX14" s="4">
        <f t="shared" si="84"/>
        <v>1</v>
      </c>
      <c r="AY14" s="4">
        <f t="shared" si="84"/>
        <v>1</v>
      </c>
      <c r="AZ14" s="4">
        <f t="shared" si="84"/>
        <v>1</v>
      </c>
      <c r="BA14" s="4">
        <f t="shared" si="84"/>
        <v>1</v>
      </c>
      <c r="BB14" s="4">
        <f t="shared" si="84"/>
        <v>1</v>
      </c>
      <c r="BC14" s="4"/>
      <c r="BD14" s="4"/>
      <c r="BE14" s="4"/>
      <c r="BF14" s="4"/>
      <c r="BG14" s="4"/>
      <c r="BH14" s="4"/>
      <c r="BI14" s="44" t="s">
        <v>180</v>
      </c>
      <c r="BJ14" s="22">
        <v>2.0</v>
      </c>
      <c r="BK14" s="4" t="str">
        <f t="shared" si="26"/>
        <v>2ש"ס-יהדות התורה</v>
      </c>
      <c r="BL14" s="4" t="str">
        <f t="shared" si="79"/>
        <v>ג</v>
      </c>
      <c r="BM14" s="4"/>
      <c r="BN14" s="4"/>
      <c r="BO14" s="4"/>
      <c r="BP14" s="4"/>
      <c r="BQ14" s="4"/>
    </row>
    <row r="15" ht="14.25" customHeight="1">
      <c r="A15" s="1" t="s">
        <v>46</v>
      </c>
      <c r="B15" s="15" t="s">
        <v>47</v>
      </c>
      <c r="C15" s="82">
        <f>'תוצאות'!C15</f>
        <v>56793</v>
      </c>
      <c r="D15" s="4">
        <f t="shared" si="6"/>
        <v>0</v>
      </c>
      <c r="E15" s="5">
        <f t="shared" si="7"/>
        <v>0</v>
      </c>
      <c r="F15" s="4">
        <f t="shared" si="72"/>
        <v>0</v>
      </c>
      <c r="G15" s="4" t="str">
        <f t="shared" si="9"/>
        <v>לא</v>
      </c>
      <c r="H15" s="81">
        <f t="shared" si="10"/>
        <v>0</v>
      </c>
      <c r="I15" s="4" t="str">
        <f t="shared" si="11"/>
        <v/>
      </c>
      <c r="J15" s="4"/>
      <c r="K15" s="4"/>
      <c r="L15" s="4"/>
      <c r="M15" s="4"/>
      <c r="N15" s="79" t="s">
        <v>57</v>
      </c>
      <c r="O15" s="82">
        <f t="shared" si="50"/>
        <v>15817</v>
      </c>
      <c r="P15" s="5">
        <f t="shared" si="51"/>
        <v>0</v>
      </c>
      <c r="Q15" s="4">
        <f t="shared" si="14"/>
        <v>0</v>
      </c>
      <c r="R15" s="4"/>
      <c r="S15" s="4"/>
      <c r="T15" s="4"/>
      <c r="U15" s="4">
        <f t="shared" si="17"/>
        <v>0</v>
      </c>
      <c r="V15" s="4">
        <f t="shared" si="18"/>
        <v>0</v>
      </c>
      <c r="W15" s="5">
        <f t="shared" si="19"/>
        <v>0</v>
      </c>
      <c r="X15" s="4">
        <f t="shared" si="73"/>
        <v>0</v>
      </c>
      <c r="Y15" s="4">
        <f t="shared" ref="Y15:AC15" si="85">IF(X15&gt;0, $W15/($X15+Y$2), 0)</f>
        <v>0</v>
      </c>
      <c r="Z15" s="4">
        <f t="shared" si="85"/>
        <v>0</v>
      </c>
      <c r="AA15" s="4">
        <f t="shared" si="85"/>
        <v>0</v>
      </c>
      <c r="AB15" s="4">
        <f t="shared" si="85"/>
        <v>0</v>
      </c>
      <c r="AC15" s="4">
        <f t="shared" si="85"/>
        <v>0</v>
      </c>
      <c r="AD15" s="4">
        <f t="shared" ref="AD15:AH15" si="86">RANK(Y15, $Y$3:$AC$29)</f>
        <v>36</v>
      </c>
      <c r="AE15" s="4">
        <f t="shared" si="86"/>
        <v>36</v>
      </c>
      <c r="AF15" s="4">
        <f t="shared" si="86"/>
        <v>36</v>
      </c>
      <c r="AG15" s="4">
        <f t="shared" si="86"/>
        <v>36</v>
      </c>
      <c r="AH15" s="4">
        <f t="shared" si="86"/>
        <v>36</v>
      </c>
      <c r="AI15" s="4">
        <f t="shared" ref="AI15:AM15" si="87">IF($P15&gt;0, $O15/($P15+AI$2), 0)</f>
        <v>0</v>
      </c>
      <c r="AJ15" s="4">
        <f t="shared" si="87"/>
        <v>0</v>
      </c>
      <c r="AK15" s="4">
        <f t="shared" si="87"/>
        <v>0</v>
      </c>
      <c r="AL15" s="4">
        <f t="shared" si="87"/>
        <v>0</v>
      </c>
      <c r="AM15" s="4">
        <f t="shared" si="87"/>
        <v>0</v>
      </c>
      <c r="AN15" s="4">
        <f t="shared" ref="AN15:AR15" si="88">IF($T16&gt;0, $S16/($T16+AN$2), 0)</f>
        <v>0</v>
      </c>
      <c r="AO15" s="4">
        <f t="shared" si="88"/>
        <v>0</v>
      </c>
      <c r="AP15" s="4">
        <f t="shared" si="88"/>
        <v>0</v>
      </c>
      <c r="AQ15" s="4">
        <f t="shared" si="88"/>
        <v>0</v>
      </c>
      <c r="AR15" s="4">
        <f t="shared" si="88"/>
        <v>0</v>
      </c>
      <c r="AS15" s="4">
        <f t="shared" ref="AS15:BB15" si="89">RANK(AI15, $AI15:$AR15)</f>
        <v>1</v>
      </c>
      <c r="AT15" s="4">
        <f t="shared" si="89"/>
        <v>1</v>
      </c>
      <c r="AU15" s="4">
        <f t="shared" si="89"/>
        <v>1</v>
      </c>
      <c r="AV15" s="4">
        <f t="shared" si="89"/>
        <v>1</v>
      </c>
      <c r="AW15" s="4">
        <f t="shared" si="89"/>
        <v>1</v>
      </c>
      <c r="AX15" s="4">
        <f t="shared" si="89"/>
        <v>1</v>
      </c>
      <c r="AY15" s="4">
        <f t="shared" si="89"/>
        <v>1</v>
      </c>
      <c r="AZ15" s="4">
        <f t="shared" si="89"/>
        <v>1</v>
      </c>
      <c r="BA15" s="4">
        <f t="shared" si="89"/>
        <v>1</v>
      </c>
      <c r="BB15" s="4">
        <f t="shared" si="89"/>
        <v>1</v>
      </c>
      <c r="BC15" s="4"/>
      <c r="BD15" s="4"/>
      <c r="BE15" s="4"/>
      <c r="BF15" s="4"/>
      <c r="BG15" s="4"/>
      <c r="BH15" s="4"/>
      <c r="BI15" s="44" t="s">
        <v>181</v>
      </c>
      <c r="BJ15" s="22">
        <v>2.0</v>
      </c>
      <c r="BK15" s="4" t="str">
        <f t="shared" si="26"/>
        <v>2העבודה-מרצ</v>
      </c>
      <c r="BL15" s="4" t="str">
        <f t="shared" si="79"/>
        <v>אמת</v>
      </c>
      <c r="BM15" s="4"/>
      <c r="BN15" s="4"/>
      <c r="BO15" s="4"/>
      <c r="BP15" s="4"/>
      <c r="BQ15" s="4"/>
    </row>
    <row r="16" ht="14.25" customHeight="1">
      <c r="A16" s="1" t="s">
        <v>48</v>
      </c>
      <c r="B16" s="15" t="s">
        <v>49</v>
      </c>
      <c r="C16" s="82">
        <f>'תוצאות'!C16</f>
        <v>13911</v>
      </c>
      <c r="D16" s="4">
        <f t="shared" si="6"/>
        <v>0</v>
      </c>
      <c r="E16" s="4">
        <f t="shared" si="7"/>
        <v>0</v>
      </c>
      <c r="F16" s="4">
        <f t="shared" si="72"/>
        <v>0</v>
      </c>
      <c r="G16" s="4" t="str">
        <f t="shared" si="9"/>
        <v>לא</v>
      </c>
      <c r="H16" s="81">
        <f t="shared" si="10"/>
        <v>0</v>
      </c>
      <c r="I16" s="4" t="str">
        <f t="shared" si="11"/>
        <v/>
      </c>
      <c r="J16" s="4"/>
      <c r="K16" s="4"/>
      <c r="L16" s="4"/>
      <c r="M16" s="4"/>
      <c r="N16" s="79" t="s">
        <v>61</v>
      </c>
      <c r="O16" s="82">
        <f t="shared" si="50"/>
        <v>530</v>
      </c>
      <c r="P16" s="4">
        <f t="shared" si="51"/>
        <v>0</v>
      </c>
      <c r="Q16" s="4">
        <f t="shared" si="14"/>
        <v>0</v>
      </c>
      <c r="R16" s="4"/>
      <c r="S16" s="4"/>
      <c r="T16" s="4"/>
      <c r="U16" s="4">
        <f t="shared" si="17"/>
        <v>0</v>
      </c>
      <c r="V16" s="4">
        <f t="shared" si="18"/>
        <v>0</v>
      </c>
      <c r="W16" s="5">
        <f t="shared" si="19"/>
        <v>0</v>
      </c>
      <c r="X16" s="4">
        <f t="shared" si="73"/>
        <v>0</v>
      </c>
      <c r="Y16" s="4">
        <f t="shared" ref="Y16:AC16" si="90">IF(X16&gt;0, $W16/($X16+Y$2), 0)</f>
        <v>0</v>
      </c>
      <c r="Z16" s="4">
        <f t="shared" si="90"/>
        <v>0</v>
      </c>
      <c r="AA16" s="4">
        <f t="shared" si="90"/>
        <v>0</v>
      </c>
      <c r="AB16" s="4">
        <f t="shared" si="90"/>
        <v>0</v>
      </c>
      <c r="AC16" s="4">
        <f t="shared" si="90"/>
        <v>0</v>
      </c>
      <c r="AD16" s="4">
        <f t="shared" ref="AD16:AH16" si="91">RANK(Y16, $Y$3:$AC$29)</f>
        <v>36</v>
      </c>
      <c r="AE16" s="4">
        <f t="shared" si="91"/>
        <v>36</v>
      </c>
      <c r="AF16" s="4">
        <f t="shared" si="91"/>
        <v>36</v>
      </c>
      <c r="AG16" s="4">
        <f t="shared" si="91"/>
        <v>36</v>
      </c>
      <c r="AH16" s="4">
        <f t="shared" si="91"/>
        <v>36</v>
      </c>
      <c r="AI16" s="4">
        <f t="shared" ref="AI16:AM16" si="92">IF($P16&gt;0, $O16/($P16+AI$2), 0)</f>
        <v>0</v>
      </c>
      <c r="AJ16" s="4">
        <f t="shared" si="92"/>
        <v>0</v>
      </c>
      <c r="AK16" s="4">
        <f t="shared" si="92"/>
        <v>0</v>
      </c>
      <c r="AL16" s="4">
        <f t="shared" si="92"/>
        <v>0</v>
      </c>
      <c r="AM16" s="4">
        <f t="shared" si="92"/>
        <v>0</v>
      </c>
      <c r="AN16" s="4">
        <f t="shared" ref="AN16:AR16" si="93">IF($T17&gt;0, $S17/($T17+AN$2), 0)</f>
        <v>0</v>
      </c>
      <c r="AO16" s="4">
        <f t="shared" si="93"/>
        <v>0</v>
      </c>
      <c r="AP16" s="4">
        <f t="shared" si="93"/>
        <v>0</v>
      </c>
      <c r="AQ16" s="4">
        <f t="shared" si="93"/>
        <v>0</v>
      </c>
      <c r="AR16" s="4">
        <f t="shared" si="93"/>
        <v>0</v>
      </c>
      <c r="AS16" s="4">
        <f t="shared" ref="AS16:BB16" si="94">RANK(AI16, $AI16:$AR16)</f>
        <v>1</v>
      </c>
      <c r="AT16" s="4">
        <f t="shared" si="94"/>
        <v>1</v>
      </c>
      <c r="AU16" s="4">
        <f t="shared" si="94"/>
        <v>1</v>
      </c>
      <c r="AV16" s="4">
        <f t="shared" si="94"/>
        <v>1</v>
      </c>
      <c r="AW16" s="4">
        <f t="shared" si="94"/>
        <v>1</v>
      </c>
      <c r="AX16" s="4">
        <f t="shared" si="94"/>
        <v>1</v>
      </c>
      <c r="AY16" s="4">
        <f t="shared" si="94"/>
        <v>1</v>
      </c>
      <c r="AZ16" s="4">
        <f t="shared" si="94"/>
        <v>1</v>
      </c>
      <c r="BA16" s="4">
        <f t="shared" si="94"/>
        <v>1</v>
      </c>
      <c r="BB16" s="4">
        <f t="shared" si="94"/>
        <v>1</v>
      </c>
      <c r="BC16" s="4"/>
      <c r="BD16" s="4"/>
      <c r="BE16" s="4"/>
      <c r="BF16" s="4"/>
      <c r="BG16" s="4"/>
      <c r="BH16" s="4"/>
      <c r="BI16" s="44" t="s">
        <v>34</v>
      </c>
      <c r="BJ16" s="22">
        <v>2.0</v>
      </c>
      <c r="BK16" s="4" t="str">
        <f t="shared" si="26"/>
        <v>2ישראל ביתנו</v>
      </c>
      <c r="BL16" s="4" t="str">
        <f t="shared" si="79"/>
        <v>ל</v>
      </c>
      <c r="BM16" s="4"/>
      <c r="BN16" s="4"/>
      <c r="BO16" s="4"/>
      <c r="BP16" s="4"/>
      <c r="BQ16" s="4"/>
    </row>
    <row r="17" ht="14.25" customHeight="1">
      <c r="A17" s="1" t="s">
        <v>50</v>
      </c>
      <c r="B17" s="15" t="s">
        <v>51</v>
      </c>
      <c r="C17" s="82">
        <f>'תוצאות'!C17</f>
        <v>1156</v>
      </c>
      <c r="D17" s="4">
        <f t="shared" si="6"/>
        <v>0</v>
      </c>
      <c r="E17" s="4">
        <f t="shared" si="7"/>
        <v>0</v>
      </c>
      <c r="F17" s="4">
        <f t="shared" si="72"/>
        <v>0</v>
      </c>
      <c r="G17" s="4" t="str">
        <f t="shared" si="9"/>
        <v>לא</v>
      </c>
      <c r="H17" s="81">
        <f t="shared" si="10"/>
        <v>0</v>
      </c>
      <c r="I17" s="4" t="str">
        <f t="shared" si="11"/>
        <v/>
      </c>
      <c r="J17" s="4"/>
      <c r="K17" s="4"/>
      <c r="L17" s="4"/>
      <c r="M17" s="4"/>
      <c r="N17" s="79" t="s">
        <v>64</v>
      </c>
      <c r="O17" s="82">
        <f t="shared" si="50"/>
        <v>205</v>
      </c>
      <c r="P17" s="5">
        <f t="shared" si="51"/>
        <v>0</v>
      </c>
      <c r="Q17" s="4">
        <f t="shared" si="14"/>
        <v>0</v>
      </c>
      <c r="R17" s="4"/>
      <c r="S17" s="4"/>
      <c r="T17" s="4"/>
      <c r="U17" s="4">
        <f t="shared" si="17"/>
        <v>0</v>
      </c>
      <c r="V17" s="4">
        <f t="shared" si="18"/>
        <v>0</v>
      </c>
      <c r="W17" s="5">
        <f t="shared" si="19"/>
        <v>0</v>
      </c>
      <c r="X17" s="4">
        <f t="shared" si="73"/>
        <v>0</v>
      </c>
      <c r="Y17" s="4">
        <f t="shared" ref="Y17:AC17" si="95">IF(X17&gt;0, $W17/($X17+Y$2), 0)</f>
        <v>0</v>
      </c>
      <c r="Z17" s="4">
        <f t="shared" si="95"/>
        <v>0</v>
      </c>
      <c r="AA17" s="4">
        <f t="shared" si="95"/>
        <v>0</v>
      </c>
      <c r="AB17" s="4">
        <f t="shared" si="95"/>
        <v>0</v>
      </c>
      <c r="AC17" s="4">
        <f t="shared" si="95"/>
        <v>0</v>
      </c>
      <c r="AD17" s="4">
        <f t="shared" ref="AD17:AH17" si="96">RANK(Y17, $Y$3:$AC$29)</f>
        <v>36</v>
      </c>
      <c r="AE17" s="4">
        <f t="shared" si="96"/>
        <v>36</v>
      </c>
      <c r="AF17" s="4">
        <f t="shared" si="96"/>
        <v>36</v>
      </c>
      <c r="AG17" s="4">
        <f t="shared" si="96"/>
        <v>36</v>
      </c>
      <c r="AH17" s="4">
        <f t="shared" si="96"/>
        <v>36</v>
      </c>
      <c r="AI17" s="4">
        <f t="shared" ref="AI17:AM17" si="97">IF($P17&gt;0, $O17/($P17+AI$2), 0)</f>
        <v>0</v>
      </c>
      <c r="AJ17" s="4">
        <f t="shared" si="97"/>
        <v>0</v>
      </c>
      <c r="AK17" s="4">
        <f t="shared" si="97"/>
        <v>0</v>
      </c>
      <c r="AL17" s="4">
        <f t="shared" si="97"/>
        <v>0</v>
      </c>
      <c r="AM17" s="4">
        <f t="shared" si="97"/>
        <v>0</v>
      </c>
      <c r="AN17" s="4">
        <f t="shared" ref="AN17:AR17" si="98">IF($T18&gt;0, $S18/($T18+AN$2), 0)</f>
        <v>0</v>
      </c>
      <c r="AO17" s="4">
        <f t="shared" si="98"/>
        <v>0</v>
      </c>
      <c r="AP17" s="4">
        <f t="shared" si="98"/>
        <v>0</v>
      </c>
      <c r="AQ17" s="4">
        <f t="shared" si="98"/>
        <v>0</v>
      </c>
      <c r="AR17" s="4">
        <f t="shared" si="98"/>
        <v>0</v>
      </c>
      <c r="AS17" s="4">
        <f t="shared" ref="AS17:BB17" si="99">RANK(AI17, $AI17:$AR17)</f>
        <v>1</v>
      </c>
      <c r="AT17" s="4">
        <f t="shared" si="99"/>
        <v>1</v>
      </c>
      <c r="AU17" s="4">
        <f t="shared" si="99"/>
        <v>1</v>
      </c>
      <c r="AV17" s="4">
        <f t="shared" si="99"/>
        <v>1</v>
      </c>
      <c r="AW17" s="4">
        <f t="shared" si="99"/>
        <v>1</v>
      </c>
      <c r="AX17" s="4">
        <f t="shared" si="99"/>
        <v>1</v>
      </c>
      <c r="AY17" s="4">
        <f t="shared" si="99"/>
        <v>1</v>
      </c>
      <c r="AZ17" s="4">
        <f t="shared" si="99"/>
        <v>1</v>
      </c>
      <c r="BA17" s="4">
        <f t="shared" si="99"/>
        <v>1</v>
      </c>
      <c r="BB17" s="4">
        <f t="shared" si="99"/>
        <v>1</v>
      </c>
      <c r="BC17" s="4"/>
      <c r="BD17" s="4"/>
      <c r="BE17" s="4">
        <f t="shared" ref="BE17:BE43" si="105">RANK(BF17, $BF$17:BF$43)</f>
        <v>3</v>
      </c>
      <c r="BF17" s="83">
        <f t="shared" ref="BF17:BF25" si="106">Y3</f>
        <v>36248.77778</v>
      </c>
      <c r="BG17" s="4" t="str">
        <f t="shared" ref="BG17:BG25" si="107">BI3</f>
        <v>ליכוד-ציונות דתית</v>
      </c>
      <c r="BH17" s="4"/>
      <c r="BI17" s="44" t="s">
        <v>41</v>
      </c>
      <c r="BJ17" s="22">
        <v>2.0</v>
      </c>
      <c r="BK17" s="4" t="str">
        <f t="shared" si="26"/>
        <v>2חד"ש-תע"ל</v>
      </c>
      <c r="BL17" s="4" t="str">
        <f t="shared" si="79"/>
        <v>ום</v>
      </c>
      <c r="BM17" s="4"/>
      <c r="BN17" s="4"/>
      <c r="BO17" s="4"/>
      <c r="BP17" s="4"/>
      <c r="BQ17" s="4"/>
    </row>
    <row r="18" ht="14.25" customHeight="1">
      <c r="A18" s="1" t="s">
        <v>53</v>
      </c>
      <c r="B18" s="15" t="s">
        <v>54</v>
      </c>
      <c r="C18" s="82">
        <f>'תוצאות'!C18</f>
        <v>8794</v>
      </c>
      <c r="D18" s="4">
        <f t="shared" si="6"/>
        <v>0</v>
      </c>
      <c r="E18" s="4">
        <f t="shared" si="7"/>
        <v>0</v>
      </c>
      <c r="F18" s="4">
        <f t="shared" si="72"/>
        <v>0</v>
      </c>
      <c r="G18" s="4" t="str">
        <f t="shared" si="9"/>
        <v>לא</v>
      </c>
      <c r="H18" s="81">
        <f t="shared" si="10"/>
        <v>0</v>
      </c>
      <c r="I18" s="4" t="str">
        <f t="shared" si="11"/>
        <v/>
      </c>
      <c r="J18" s="4"/>
      <c r="K18" s="4"/>
      <c r="L18" s="4"/>
      <c r="M18" s="4"/>
      <c r="N18" s="79" t="s">
        <v>66</v>
      </c>
      <c r="O18" s="82">
        <f t="shared" si="50"/>
        <v>152</v>
      </c>
      <c r="P18" s="4">
        <f t="shared" si="51"/>
        <v>0</v>
      </c>
      <c r="Q18" s="4">
        <f t="shared" si="14"/>
        <v>0</v>
      </c>
      <c r="R18" s="4"/>
      <c r="S18" s="4"/>
      <c r="T18" s="4"/>
      <c r="U18" s="4">
        <f t="shared" si="17"/>
        <v>0</v>
      </c>
      <c r="V18" s="4">
        <f t="shared" si="18"/>
        <v>0</v>
      </c>
      <c r="W18" s="5">
        <f t="shared" si="19"/>
        <v>0</v>
      </c>
      <c r="X18" s="4">
        <f t="shared" si="73"/>
        <v>0</v>
      </c>
      <c r="Y18" s="4">
        <f t="shared" ref="Y18:AC18" si="100">IF(X18&gt;0, $W18/($X18+Y$2), 0)</f>
        <v>0</v>
      </c>
      <c r="Z18" s="4">
        <f t="shared" si="100"/>
        <v>0</v>
      </c>
      <c r="AA18" s="4">
        <f t="shared" si="100"/>
        <v>0</v>
      </c>
      <c r="AB18" s="4">
        <f t="shared" si="100"/>
        <v>0</v>
      </c>
      <c r="AC18" s="4">
        <f t="shared" si="100"/>
        <v>0</v>
      </c>
      <c r="AD18" s="4">
        <f t="shared" ref="AD18:AH18" si="101">RANK(Y18, $Y$3:$AC$29)</f>
        <v>36</v>
      </c>
      <c r="AE18" s="4">
        <f t="shared" si="101"/>
        <v>36</v>
      </c>
      <c r="AF18" s="4">
        <f t="shared" si="101"/>
        <v>36</v>
      </c>
      <c r="AG18" s="4">
        <f t="shared" si="101"/>
        <v>36</v>
      </c>
      <c r="AH18" s="4">
        <f t="shared" si="101"/>
        <v>36</v>
      </c>
      <c r="AI18" s="4">
        <f t="shared" ref="AI18:AM18" si="102">IF($P18&gt;0, $O18/($P18+AI$2), 0)</f>
        <v>0</v>
      </c>
      <c r="AJ18" s="4">
        <f t="shared" si="102"/>
        <v>0</v>
      </c>
      <c r="AK18" s="4">
        <f t="shared" si="102"/>
        <v>0</v>
      </c>
      <c r="AL18" s="4">
        <f t="shared" si="102"/>
        <v>0</v>
      </c>
      <c r="AM18" s="4">
        <f t="shared" si="102"/>
        <v>0</v>
      </c>
      <c r="AN18" s="4">
        <f t="shared" ref="AN18:AR18" si="103">IF($T19&gt;0, $S19/($T19+AN$2), 0)</f>
        <v>0</v>
      </c>
      <c r="AO18" s="4">
        <f t="shared" si="103"/>
        <v>0</v>
      </c>
      <c r="AP18" s="4">
        <f t="shared" si="103"/>
        <v>0</v>
      </c>
      <c r="AQ18" s="4">
        <f t="shared" si="103"/>
        <v>0</v>
      </c>
      <c r="AR18" s="4">
        <f t="shared" si="103"/>
        <v>0</v>
      </c>
      <c r="AS18" s="4">
        <f t="shared" ref="AS18:BB18" si="104">RANK(AI18, $AI18:$AR18)</f>
        <v>1</v>
      </c>
      <c r="AT18" s="4">
        <f t="shared" si="104"/>
        <v>1</v>
      </c>
      <c r="AU18" s="4">
        <f t="shared" si="104"/>
        <v>1</v>
      </c>
      <c r="AV18" s="4">
        <f t="shared" si="104"/>
        <v>1</v>
      </c>
      <c r="AW18" s="4">
        <f t="shared" si="104"/>
        <v>1</v>
      </c>
      <c r="AX18" s="4">
        <f t="shared" si="104"/>
        <v>1</v>
      </c>
      <c r="AY18" s="4">
        <f t="shared" si="104"/>
        <v>1</v>
      </c>
      <c r="AZ18" s="4">
        <f t="shared" si="104"/>
        <v>1</v>
      </c>
      <c r="BA18" s="4">
        <f t="shared" si="104"/>
        <v>1</v>
      </c>
      <c r="BB18" s="4">
        <f t="shared" si="104"/>
        <v>1</v>
      </c>
      <c r="BC18" s="4"/>
      <c r="BD18" s="4"/>
      <c r="BE18" s="4">
        <f t="shared" si="105"/>
        <v>2</v>
      </c>
      <c r="BF18" s="83">
        <f t="shared" si="106"/>
        <v>36557.74286</v>
      </c>
      <c r="BG18" s="4" t="str">
        <f t="shared" si="107"/>
        <v>יש עתיד-המחנה הממלכתי</v>
      </c>
      <c r="BH18" s="4"/>
      <c r="BI18" s="44" t="s">
        <v>43</v>
      </c>
      <c r="BJ18" s="22">
        <v>2.0</v>
      </c>
      <c r="BK18" s="4" t="str">
        <f t="shared" si="26"/>
        <v>2רע"ם</v>
      </c>
      <c r="BL18" s="4" t="str">
        <f t="shared" si="79"/>
        <v>עם</v>
      </c>
      <c r="BM18" s="4"/>
      <c r="BN18" s="4"/>
      <c r="BO18" s="4"/>
      <c r="BP18" s="4"/>
      <c r="BQ18" s="4"/>
    </row>
    <row r="19" ht="14.25" customHeight="1">
      <c r="A19" s="1" t="s">
        <v>57</v>
      </c>
      <c r="B19" s="15" t="s">
        <v>58</v>
      </c>
      <c r="C19" s="82">
        <f>'תוצאות'!C19</f>
        <v>15817</v>
      </c>
      <c r="D19" s="4">
        <f t="shared" si="6"/>
        <v>0</v>
      </c>
      <c r="E19" s="4">
        <f t="shared" si="7"/>
        <v>0</v>
      </c>
      <c r="F19" s="4">
        <f t="shared" si="72"/>
        <v>0</v>
      </c>
      <c r="G19" s="4" t="str">
        <f t="shared" si="9"/>
        <v>לא</v>
      </c>
      <c r="H19" s="81">
        <f t="shared" si="10"/>
        <v>0</v>
      </c>
      <c r="I19" s="4" t="str">
        <f t="shared" si="11"/>
        <v/>
      </c>
      <c r="J19" s="4"/>
      <c r="K19" s="4"/>
      <c r="L19" s="4"/>
      <c r="M19" s="4"/>
      <c r="N19" s="79" t="s">
        <v>69</v>
      </c>
      <c r="O19" s="82">
        <f t="shared" si="50"/>
        <v>377</v>
      </c>
      <c r="P19" s="5">
        <f t="shared" si="51"/>
        <v>0</v>
      </c>
      <c r="Q19" s="4">
        <f t="shared" si="14"/>
        <v>0</v>
      </c>
      <c r="R19" s="4"/>
      <c r="S19" s="4"/>
      <c r="T19" s="4"/>
      <c r="U19" s="4">
        <f t="shared" si="17"/>
        <v>0</v>
      </c>
      <c r="V19" s="4">
        <f t="shared" si="18"/>
        <v>0</v>
      </c>
      <c r="W19" s="5">
        <f t="shared" si="19"/>
        <v>0</v>
      </c>
      <c r="X19" s="4">
        <f t="shared" si="73"/>
        <v>0</v>
      </c>
      <c r="Y19" s="4">
        <f t="shared" ref="Y19:AC19" si="108">IF(X19&gt;0, $W19/($X19+Y$2), 0)</f>
        <v>0</v>
      </c>
      <c r="Z19" s="4">
        <f t="shared" si="108"/>
        <v>0</v>
      </c>
      <c r="AA19" s="4">
        <f t="shared" si="108"/>
        <v>0</v>
      </c>
      <c r="AB19" s="4">
        <f t="shared" si="108"/>
        <v>0</v>
      </c>
      <c r="AC19" s="4">
        <f t="shared" si="108"/>
        <v>0</v>
      </c>
      <c r="AD19" s="4">
        <f t="shared" ref="AD19:AH19" si="109">RANK(Y19, $Y$3:$AC$29)</f>
        <v>36</v>
      </c>
      <c r="AE19" s="4">
        <f t="shared" si="109"/>
        <v>36</v>
      </c>
      <c r="AF19" s="4">
        <f t="shared" si="109"/>
        <v>36</v>
      </c>
      <c r="AG19" s="4">
        <f t="shared" si="109"/>
        <v>36</v>
      </c>
      <c r="AH19" s="4">
        <f t="shared" si="109"/>
        <v>36</v>
      </c>
      <c r="AI19" s="4">
        <f t="shared" ref="AI19:AM19" si="110">IF($P19&gt;0, $O19/($P19+AI$2), 0)</f>
        <v>0</v>
      </c>
      <c r="AJ19" s="4">
        <f t="shared" si="110"/>
        <v>0</v>
      </c>
      <c r="AK19" s="4">
        <f t="shared" si="110"/>
        <v>0</v>
      </c>
      <c r="AL19" s="4">
        <f t="shared" si="110"/>
        <v>0</v>
      </c>
      <c r="AM19" s="4">
        <f t="shared" si="110"/>
        <v>0</v>
      </c>
      <c r="AN19" s="4">
        <f t="shared" ref="AN19:AR19" si="111">IF($T20&gt;0, $S20/($T20+AN$2), 0)</f>
        <v>0</v>
      </c>
      <c r="AO19" s="4">
        <f t="shared" si="111"/>
        <v>0</v>
      </c>
      <c r="AP19" s="4">
        <f t="shared" si="111"/>
        <v>0</v>
      </c>
      <c r="AQ19" s="4">
        <f t="shared" si="111"/>
        <v>0</v>
      </c>
      <c r="AR19" s="4">
        <f t="shared" si="111"/>
        <v>0</v>
      </c>
      <c r="AS19" s="4">
        <f t="shared" ref="AS19:BB19" si="112">RANK(AI19, $AI19:$AR19)</f>
        <v>1</v>
      </c>
      <c r="AT19" s="4">
        <f t="shared" si="112"/>
        <v>1</v>
      </c>
      <c r="AU19" s="4">
        <f t="shared" si="112"/>
        <v>1</v>
      </c>
      <c r="AV19" s="4">
        <f t="shared" si="112"/>
        <v>1</v>
      </c>
      <c r="AW19" s="4">
        <f t="shared" si="112"/>
        <v>1</v>
      </c>
      <c r="AX19" s="4">
        <f t="shared" si="112"/>
        <v>1</v>
      </c>
      <c r="AY19" s="4">
        <f t="shared" si="112"/>
        <v>1</v>
      </c>
      <c r="AZ19" s="4">
        <f t="shared" si="112"/>
        <v>1</v>
      </c>
      <c r="BA19" s="4">
        <f t="shared" si="112"/>
        <v>1</v>
      </c>
      <c r="BB19" s="4">
        <f t="shared" si="112"/>
        <v>1</v>
      </c>
      <c r="BC19" s="4"/>
      <c r="BD19" s="4"/>
      <c r="BE19" s="4">
        <f t="shared" si="105"/>
        <v>1</v>
      </c>
      <c r="BF19" s="83">
        <f t="shared" si="106"/>
        <v>37376.05556</v>
      </c>
      <c r="BG19" s="4" t="str">
        <f t="shared" si="107"/>
        <v>ש"ס-יהדות התורה</v>
      </c>
      <c r="BH19" s="4"/>
      <c r="BI19" s="44" t="s">
        <v>45</v>
      </c>
      <c r="BJ19" s="22">
        <v>2.0</v>
      </c>
      <c r="BK19" s="4" t="str">
        <f t="shared" si="26"/>
        <v>2בל"ד</v>
      </c>
      <c r="BL19" s="4" t="str">
        <f t="shared" si="79"/>
        <v/>
      </c>
      <c r="BM19" s="4"/>
      <c r="BN19" s="4"/>
      <c r="BO19" s="4"/>
      <c r="BP19" s="4"/>
      <c r="BQ19" s="4"/>
    </row>
    <row r="20" ht="14.25" customHeight="1">
      <c r="A20" s="1" t="s">
        <v>61</v>
      </c>
      <c r="B20" s="15" t="s">
        <v>62</v>
      </c>
      <c r="C20" s="82">
        <f>'תוצאות'!C20</f>
        <v>530</v>
      </c>
      <c r="D20" s="4">
        <f t="shared" si="6"/>
        <v>0</v>
      </c>
      <c r="E20" s="4">
        <f t="shared" si="7"/>
        <v>0</v>
      </c>
      <c r="F20" s="4">
        <f t="shared" si="72"/>
        <v>0</v>
      </c>
      <c r="G20" s="4" t="str">
        <f t="shared" si="9"/>
        <v>לא</v>
      </c>
      <c r="H20" s="81">
        <f t="shared" si="10"/>
        <v>0</v>
      </c>
      <c r="I20" s="4" t="str">
        <f t="shared" si="11"/>
        <v/>
      </c>
      <c r="J20" s="4"/>
      <c r="K20" s="4"/>
      <c r="L20" s="4"/>
      <c r="M20" s="4"/>
      <c r="N20" s="79" t="s">
        <v>72</v>
      </c>
      <c r="O20" s="82">
        <f t="shared" si="50"/>
        <v>234</v>
      </c>
      <c r="P20" s="4">
        <f t="shared" si="51"/>
        <v>0</v>
      </c>
      <c r="Q20" s="4">
        <f t="shared" si="14"/>
        <v>0</v>
      </c>
      <c r="R20" s="4"/>
      <c r="S20" s="4"/>
      <c r="T20" s="4"/>
      <c r="U20" s="4">
        <f t="shared" si="17"/>
        <v>0</v>
      </c>
      <c r="V20" s="4">
        <f t="shared" si="18"/>
        <v>0</v>
      </c>
      <c r="W20" s="5">
        <f t="shared" si="19"/>
        <v>0</v>
      </c>
      <c r="X20" s="4">
        <f t="shared" si="73"/>
        <v>0</v>
      </c>
      <c r="Y20" s="4">
        <f t="shared" ref="Y20:AC20" si="113">IF(X20&gt;0, $W20/($X20+Y$2), 0)</f>
        <v>0</v>
      </c>
      <c r="Z20" s="4">
        <f t="shared" si="113"/>
        <v>0</v>
      </c>
      <c r="AA20" s="4">
        <f t="shared" si="113"/>
        <v>0</v>
      </c>
      <c r="AB20" s="4">
        <f t="shared" si="113"/>
        <v>0</v>
      </c>
      <c r="AC20" s="4">
        <f t="shared" si="113"/>
        <v>0</v>
      </c>
      <c r="AD20" s="4">
        <f t="shared" ref="AD20:AH20" si="114">RANK(Y20, $Y$3:$AC$29)</f>
        <v>36</v>
      </c>
      <c r="AE20" s="4">
        <f t="shared" si="114"/>
        <v>36</v>
      </c>
      <c r="AF20" s="4">
        <f t="shared" si="114"/>
        <v>36</v>
      </c>
      <c r="AG20" s="4">
        <f t="shared" si="114"/>
        <v>36</v>
      </c>
      <c r="AH20" s="4">
        <f t="shared" si="114"/>
        <v>36</v>
      </c>
      <c r="AI20" s="4">
        <f t="shared" ref="AI20:AM20" si="115">IF($P20&gt;0, $O20/($P20+AI$2), 0)</f>
        <v>0</v>
      </c>
      <c r="AJ20" s="4">
        <f t="shared" si="115"/>
        <v>0</v>
      </c>
      <c r="AK20" s="4">
        <f t="shared" si="115"/>
        <v>0</v>
      </c>
      <c r="AL20" s="4">
        <f t="shared" si="115"/>
        <v>0</v>
      </c>
      <c r="AM20" s="4">
        <f t="shared" si="115"/>
        <v>0</v>
      </c>
      <c r="AN20" s="4">
        <f t="shared" ref="AN20:AR20" si="116">IF($T21&gt;0, $S21/($T21+AN$2), 0)</f>
        <v>0</v>
      </c>
      <c r="AO20" s="4">
        <f t="shared" si="116"/>
        <v>0</v>
      </c>
      <c r="AP20" s="4">
        <f t="shared" si="116"/>
        <v>0</v>
      </c>
      <c r="AQ20" s="4">
        <f t="shared" si="116"/>
        <v>0</v>
      </c>
      <c r="AR20" s="4">
        <f t="shared" si="116"/>
        <v>0</v>
      </c>
      <c r="AS20" s="4">
        <f t="shared" ref="AS20:BB20" si="117">RANK(AI20, $AI20:$AR20)</f>
        <v>1</v>
      </c>
      <c r="AT20" s="4">
        <f t="shared" si="117"/>
        <v>1</v>
      </c>
      <c r="AU20" s="4">
        <f t="shared" si="117"/>
        <v>1</v>
      </c>
      <c r="AV20" s="4">
        <f t="shared" si="117"/>
        <v>1</v>
      </c>
      <c r="AW20" s="4">
        <f t="shared" si="117"/>
        <v>1</v>
      </c>
      <c r="AX20" s="4">
        <f t="shared" si="117"/>
        <v>1</v>
      </c>
      <c r="AY20" s="4">
        <f t="shared" si="117"/>
        <v>1</v>
      </c>
      <c r="AZ20" s="4">
        <f t="shared" si="117"/>
        <v>1</v>
      </c>
      <c r="BA20" s="4">
        <f t="shared" si="117"/>
        <v>1</v>
      </c>
      <c r="BB20" s="4">
        <f t="shared" si="117"/>
        <v>1</v>
      </c>
      <c r="BC20" s="4"/>
      <c r="BD20" s="4"/>
      <c r="BE20" s="4">
        <f t="shared" si="105"/>
        <v>9</v>
      </c>
      <c r="BF20" s="83">
        <f t="shared" si="106"/>
        <v>35184.4</v>
      </c>
      <c r="BG20" s="4" t="str">
        <f t="shared" si="107"/>
        <v>העבודה-מרצ</v>
      </c>
      <c r="BH20" s="4"/>
      <c r="BI20" s="44" t="s">
        <v>47</v>
      </c>
      <c r="BJ20" s="22">
        <v>2.0</v>
      </c>
      <c r="BK20" s="4" t="str">
        <f t="shared" si="26"/>
        <v>2הבית היהודי</v>
      </c>
      <c r="BL20" s="4" t="str">
        <f t="shared" si="79"/>
        <v/>
      </c>
      <c r="BM20" s="4"/>
      <c r="BN20" s="4"/>
      <c r="BO20" s="4"/>
      <c r="BP20" s="4"/>
      <c r="BQ20" s="4"/>
    </row>
    <row r="21" ht="14.25" customHeight="1">
      <c r="A21" s="1" t="s">
        <v>64</v>
      </c>
      <c r="B21" s="15" t="s">
        <v>65</v>
      </c>
      <c r="C21" s="82">
        <f>'תוצאות'!C21</f>
        <v>205</v>
      </c>
      <c r="D21" s="4">
        <f t="shared" si="6"/>
        <v>0</v>
      </c>
      <c r="E21" s="4">
        <f t="shared" si="7"/>
        <v>0</v>
      </c>
      <c r="F21" s="4">
        <f t="shared" si="72"/>
        <v>0</v>
      </c>
      <c r="G21" s="4" t="str">
        <f t="shared" si="9"/>
        <v>לא</v>
      </c>
      <c r="H21" s="81">
        <f t="shared" si="10"/>
        <v>0</v>
      </c>
      <c r="I21" s="4" t="str">
        <f t="shared" si="11"/>
        <v/>
      </c>
      <c r="J21" s="4"/>
      <c r="K21" s="4"/>
      <c r="L21" s="4"/>
      <c r="M21" s="4"/>
      <c r="N21" s="79" t="s">
        <v>75</v>
      </c>
      <c r="O21" s="82">
        <f t="shared" si="50"/>
        <v>265</v>
      </c>
      <c r="P21" s="5">
        <f t="shared" si="51"/>
        <v>0</v>
      </c>
      <c r="Q21" s="4">
        <f t="shared" si="14"/>
        <v>0</v>
      </c>
      <c r="R21" s="4"/>
      <c r="S21" s="4"/>
      <c r="T21" s="4"/>
      <c r="U21" s="4">
        <f t="shared" si="17"/>
        <v>0</v>
      </c>
      <c r="V21" s="4">
        <f t="shared" si="18"/>
        <v>0</v>
      </c>
      <c r="W21" s="5">
        <f t="shared" si="19"/>
        <v>0</v>
      </c>
      <c r="X21" s="4">
        <f t="shared" si="73"/>
        <v>0</v>
      </c>
      <c r="Y21" s="4">
        <f t="shared" ref="Y21:AC21" si="118">IF(X21&gt;0, $W21/($X21+Y$2), 0)</f>
        <v>0</v>
      </c>
      <c r="Z21" s="4">
        <f t="shared" si="118"/>
        <v>0</v>
      </c>
      <c r="AA21" s="4">
        <f t="shared" si="118"/>
        <v>0</v>
      </c>
      <c r="AB21" s="4">
        <f t="shared" si="118"/>
        <v>0</v>
      </c>
      <c r="AC21" s="4">
        <f t="shared" si="118"/>
        <v>0</v>
      </c>
      <c r="AD21" s="4">
        <f t="shared" ref="AD21:AH21" si="119">RANK(Y21, $Y$3:$AC$29)</f>
        <v>36</v>
      </c>
      <c r="AE21" s="4">
        <f t="shared" si="119"/>
        <v>36</v>
      </c>
      <c r="AF21" s="4">
        <f t="shared" si="119"/>
        <v>36</v>
      </c>
      <c r="AG21" s="4">
        <f t="shared" si="119"/>
        <v>36</v>
      </c>
      <c r="AH21" s="4">
        <f t="shared" si="119"/>
        <v>36</v>
      </c>
      <c r="AI21" s="4">
        <f t="shared" ref="AI21:AM21" si="120">IF($P21&gt;0, $O21/($P21+AI$2), 0)</f>
        <v>0</v>
      </c>
      <c r="AJ21" s="4">
        <f t="shared" si="120"/>
        <v>0</v>
      </c>
      <c r="AK21" s="4">
        <f t="shared" si="120"/>
        <v>0</v>
      </c>
      <c r="AL21" s="4">
        <f t="shared" si="120"/>
        <v>0</v>
      </c>
      <c r="AM21" s="4">
        <f t="shared" si="120"/>
        <v>0</v>
      </c>
      <c r="AN21" s="4">
        <f t="shared" ref="AN21:AR21" si="121">IF($T22&gt;0, $S22/($T22+AN$2), 0)</f>
        <v>0</v>
      </c>
      <c r="AO21" s="4">
        <f t="shared" si="121"/>
        <v>0</v>
      </c>
      <c r="AP21" s="4">
        <f t="shared" si="121"/>
        <v>0</v>
      </c>
      <c r="AQ21" s="4">
        <f t="shared" si="121"/>
        <v>0</v>
      </c>
      <c r="AR21" s="4">
        <f t="shared" si="121"/>
        <v>0</v>
      </c>
      <c r="AS21" s="4">
        <f t="shared" ref="AS21:BB21" si="122">RANK(AI21, $AI21:$AR21)</f>
        <v>1</v>
      </c>
      <c r="AT21" s="4">
        <f t="shared" si="122"/>
        <v>1</v>
      </c>
      <c r="AU21" s="4">
        <f t="shared" si="122"/>
        <v>1</v>
      </c>
      <c r="AV21" s="4">
        <f t="shared" si="122"/>
        <v>1</v>
      </c>
      <c r="AW21" s="4">
        <f t="shared" si="122"/>
        <v>1</v>
      </c>
      <c r="AX21" s="4">
        <f t="shared" si="122"/>
        <v>1</v>
      </c>
      <c r="AY21" s="4">
        <f t="shared" si="122"/>
        <v>1</v>
      </c>
      <c r="AZ21" s="4">
        <f t="shared" si="122"/>
        <v>1</v>
      </c>
      <c r="BA21" s="4">
        <f t="shared" si="122"/>
        <v>1</v>
      </c>
      <c r="BB21" s="4">
        <f t="shared" si="122"/>
        <v>1</v>
      </c>
      <c r="BC21" s="4"/>
      <c r="BD21" s="4"/>
      <c r="BE21" s="4">
        <f t="shared" si="105"/>
        <v>5</v>
      </c>
      <c r="BF21" s="83">
        <f t="shared" si="106"/>
        <v>35609.16667</v>
      </c>
      <c r="BG21" s="4" t="str">
        <f t="shared" si="107"/>
        <v>ישראל ביתנו</v>
      </c>
      <c r="BH21" s="4"/>
      <c r="BI21" s="44" t="s">
        <v>178</v>
      </c>
      <c r="BJ21" s="22">
        <v>3.0</v>
      </c>
      <c r="BK21" s="4" t="str">
        <f t="shared" si="26"/>
        <v>3ליכוד-ציונות דתית</v>
      </c>
      <c r="BL21" s="4" t="str">
        <f t="shared" ref="BL21:BL29" si="128">if(BJ21=AS3, $BE3, IF(BJ21=AT3, $BE3, IF(BJ21=AX3, BF3, "")))</f>
        <v>ט</v>
      </c>
      <c r="BM21" s="4"/>
      <c r="BN21" s="4"/>
      <c r="BO21" s="4"/>
      <c r="BP21" s="4"/>
      <c r="BQ21" s="4"/>
    </row>
    <row r="22" ht="14.25" customHeight="1">
      <c r="A22" s="1" t="s">
        <v>66</v>
      </c>
      <c r="B22" s="15" t="s">
        <v>67</v>
      </c>
      <c r="C22" s="82">
        <f>'תוצאות'!C22</f>
        <v>152</v>
      </c>
      <c r="D22" s="4">
        <f t="shared" si="6"/>
        <v>0</v>
      </c>
      <c r="E22" s="4">
        <f t="shared" si="7"/>
        <v>0</v>
      </c>
      <c r="F22" s="4">
        <f t="shared" si="72"/>
        <v>0</v>
      </c>
      <c r="G22" s="4" t="str">
        <f t="shared" si="9"/>
        <v>לא</v>
      </c>
      <c r="H22" s="81">
        <f t="shared" si="10"/>
        <v>0</v>
      </c>
      <c r="I22" s="4" t="str">
        <f t="shared" si="11"/>
        <v/>
      </c>
      <c r="J22" s="4"/>
      <c r="K22" s="4"/>
      <c r="L22" s="4"/>
      <c r="M22" s="4"/>
      <c r="N22" s="79" t="s">
        <v>79</v>
      </c>
      <c r="O22" s="82">
        <f t="shared" si="50"/>
        <v>425</v>
      </c>
      <c r="P22" s="4">
        <f t="shared" si="51"/>
        <v>0</v>
      </c>
      <c r="Q22" s="4">
        <f t="shared" si="14"/>
        <v>0</v>
      </c>
      <c r="R22" s="4"/>
      <c r="S22" s="4"/>
      <c r="T22" s="4"/>
      <c r="U22" s="4">
        <f t="shared" si="17"/>
        <v>0</v>
      </c>
      <c r="V22" s="4">
        <f t="shared" si="18"/>
        <v>0</v>
      </c>
      <c r="W22" s="5">
        <f t="shared" si="19"/>
        <v>0</v>
      </c>
      <c r="X22" s="4">
        <f t="shared" si="73"/>
        <v>0</v>
      </c>
      <c r="Y22" s="4">
        <f t="shared" ref="Y22:AC22" si="123">IF(X22&gt;0, $W22/($X22+Y$2), 0)</f>
        <v>0</v>
      </c>
      <c r="Z22" s="4">
        <f t="shared" si="123"/>
        <v>0</v>
      </c>
      <c r="AA22" s="4">
        <f t="shared" si="123"/>
        <v>0</v>
      </c>
      <c r="AB22" s="4">
        <f t="shared" si="123"/>
        <v>0</v>
      </c>
      <c r="AC22" s="4">
        <f t="shared" si="123"/>
        <v>0</v>
      </c>
      <c r="AD22" s="4">
        <f t="shared" ref="AD22:AH22" si="124">RANK(Y22, $Y$3:$AC$29)</f>
        <v>36</v>
      </c>
      <c r="AE22" s="4">
        <f t="shared" si="124"/>
        <v>36</v>
      </c>
      <c r="AF22" s="4">
        <f t="shared" si="124"/>
        <v>36</v>
      </c>
      <c r="AG22" s="4">
        <f t="shared" si="124"/>
        <v>36</v>
      </c>
      <c r="AH22" s="4">
        <f t="shared" si="124"/>
        <v>36</v>
      </c>
      <c r="AI22" s="4">
        <f t="shared" ref="AI22:AM22" si="125">IF($P22&gt;0, $O22/($P22+AI$2), 0)</f>
        <v>0</v>
      </c>
      <c r="AJ22" s="4">
        <f t="shared" si="125"/>
        <v>0</v>
      </c>
      <c r="AK22" s="4">
        <f t="shared" si="125"/>
        <v>0</v>
      </c>
      <c r="AL22" s="4">
        <f t="shared" si="125"/>
        <v>0</v>
      </c>
      <c r="AM22" s="4">
        <f t="shared" si="125"/>
        <v>0</v>
      </c>
      <c r="AN22" s="4">
        <f t="shared" ref="AN22:AR22" si="126">IF($T23&gt;0, $S23/($T23+AN$2), 0)</f>
        <v>0</v>
      </c>
      <c r="AO22" s="4">
        <f t="shared" si="126"/>
        <v>0</v>
      </c>
      <c r="AP22" s="4">
        <f t="shared" si="126"/>
        <v>0</v>
      </c>
      <c r="AQ22" s="4">
        <f t="shared" si="126"/>
        <v>0</v>
      </c>
      <c r="AR22" s="4">
        <f t="shared" si="126"/>
        <v>0</v>
      </c>
      <c r="AS22" s="4">
        <f t="shared" ref="AS22:BB22" si="127">RANK(AI22, $AI22:$AR22)</f>
        <v>1</v>
      </c>
      <c r="AT22" s="4">
        <f t="shared" si="127"/>
        <v>1</v>
      </c>
      <c r="AU22" s="4">
        <f t="shared" si="127"/>
        <v>1</v>
      </c>
      <c r="AV22" s="4">
        <f t="shared" si="127"/>
        <v>1</v>
      </c>
      <c r="AW22" s="4">
        <f t="shared" si="127"/>
        <v>1</v>
      </c>
      <c r="AX22" s="4">
        <f t="shared" si="127"/>
        <v>1</v>
      </c>
      <c r="AY22" s="4">
        <f t="shared" si="127"/>
        <v>1</v>
      </c>
      <c r="AZ22" s="4">
        <f t="shared" si="127"/>
        <v>1</v>
      </c>
      <c r="BA22" s="4">
        <f t="shared" si="127"/>
        <v>1</v>
      </c>
      <c r="BB22" s="4">
        <f t="shared" si="127"/>
        <v>1</v>
      </c>
      <c r="BC22" s="4"/>
      <c r="BD22" s="4"/>
      <c r="BE22" s="4">
        <f t="shared" si="105"/>
        <v>4</v>
      </c>
      <c r="BF22" s="83">
        <f t="shared" si="106"/>
        <v>35732.2</v>
      </c>
      <c r="BG22" s="4" t="str">
        <f t="shared" si="107"/>
        <v>חד"ש-תע"ל</v>
      </c>
      <c r="BH22" s="4"/>
      <c r="BI22" s="44" t="s">
        <v>179</v>
      </c>
      <c r="BJ22" s="22">
        <v>3.0</v>
      </c>
      <c r="BK22" s="4" t="str">
        <f t="shared" si="26"/>
        <v>3יש עתיד-המחנה הממלכתי</v>
      </c>
      <c r="BL22" s="4" t="str">
        <f t="shared" si="128"/>
        <v>פה</v>
      </c>
      <c r="BM22" s="4"/>
      <c r="BN22" s="4"/>
      <c r="BO22" s="4"/>
      <c r="BP22" s="4"/>
      <c r="BQ22" s="4"/>
    </row>
    <row r="23" ht="14.25" customHeight="1">
      <c r="A23" s="1" t="s">
        <v>69</v>
      </c>
      <c r="B23" s="15" t="s">
        <v>70</v>
      </c>
      <c r="C23" s="82">
        <f>'תוצאות'!C23</f>
        <v>377</v>
      </c>
      <c r="D23" s="4">
        <f t="shared" si="6"/>
        <v>0</v>
      </c>
      <c r="E23" s="4">
        <f t="shared" si="7"/>
        <v>0</v>
      </c>
      <c r="F23" s="4">
        <f t="shared" si="72"/>
        <v>0</v>
      </c>
      <c r="G23" s="4" t="str">
        <f t="shared" si="9"/>
        <v>לא</v>
      </c>
      <c r="H23" s="81">
        <f t="shared" si="10"/>
        <v>0</v>
      </c>
      <c r="I23" s="4" t="str">
        <f t="shared" si="11"/>
        <v/>
      </c>
      <c r="J23" s="4"/>
      <c r="K23" s="4"/>
      <c r="L23" s="4"/>
      <c r="M23" s="4"/>
      <c r="N23" s="79" t="s">
        <v>81</v>
      </c>
      <c r="O23" s="82">
        <f t="shared" si="50"/>
        <v>1321</v>
      </c>
      <c r="P23" s="5">
        <f t="shared" si="51"/>
        <v>0</v>
      </c>
      <c r="Q23" s="4">
        <f t="shared" si="14"/>
        <v>0</v>
      </c>
      <c r="R23" s="4"/>
      <c r="S23" s="4"/>
      <c r="T23" s="4"/>
      <c r="U23" s="4">
        <f t="shared" si="17"/>
        <v>0</v>
      </c>
      <c r="V23" s="4">
        <f t="shared" si="18"/>
        <v>0</v>
      </c>
      <c r="W23" s="5">
        <f t="shared" si="19"/>
        <v>0</v>
      </c>
      <c r="X23" s="4">
        <f t="shared" si="73"/>
        <v>0</v>
      </c>
      <c r="Y23" s="4">
        <f t="shared" ref="Y23:AC23" si="129">IF(X23&gt;0, $W23/($X23+Y$2), 0)</f>
        <v>0</v>
      </c>
      <c r="Z23" s="4">
        <f t="shared" si="129"/>
        <v>0</v>
      </c>
      <c r="AA23" s="4">
        <f t="shared" si="129"/>
        <v>0</v>
      </c>
      <c r="AB23" s="4">
        <f t="shared" si="129"/>
        <v>0</v>
      </c>
      <c r="AC23" s="4">
        <f t="shared" si="129"/>
        <v>0</v>
      </c>
      <c r="AD23" s="4">
        <f t="shared" ref="AD23:AH23" si="130">RANK(Y23, $Y$3:$AC$29)</f>
        <v>36</v>
      </c>
      <c r="AE23" s="4">
        <f t="shared" si="130"/>
        <v>36</v>
      </c>
      <c r="AF23" s="4">
        <f t="shared" si="130"/>
        <v>36</v>
      </c>
      <c r="AG23" s="4">
        <f t="shared" si="130"/>
        <v>36</v>
      </c>
      <c r="AH23" s="4">
        <f t="shared" si="130"/>
        <v>36</v>
      </c>
      <c r="AI23" s="4">
        <f t="shared" ref="AI23:AM23" si="131">IF($P23&gt;0, $O23/($P23+AI$2), 0)</f>
        <v>0</v>
      </c>
      <c r="AJ23" s="4">
        <f t="shared" si="131"/>
        <v>0</v>
      </c>
      <c r="AK23" s="4">
        <f t="shared" si="131"/>
        <v>0</v>
      </c>
      <c r="AL23" s="4">
        <f t="shared" si="131"/>
        <v>0</v>
      </c>
      <c r="AM23" s="4">
        <f t="shared" si="131"/>
        <v>0</v>
      </c>
      <c r="AN23" s="4">
        <f t="shared" ref="AN23:AR23" si="132">IF($T24&gt;0, $S24/($T24+AN$2), 0)</f>
        <v>0</v>
      </c>
      <c r="AO23" s="4">
        <f t="shared" si="132"/>
        <v>0</v>
      </c>
      <c r="AP23" s="4">
        <f t="shared" si="132"/>
        <v>0</v>
      </c>
      <c r="AQ23" s="4">
        <f t="shared" si="132"/>
        <v>0</v>
      </c>
      <c r="AR23" s="4">
        <f t="shared" si="132"/>
        <v>0</v>
      </c>
      <c r="AS23" s="4">
        <f t="shared" ref="AS23:BB23" si="133">RANK(AI23, $AI23:$AR23)</f>
        <v>1</v>
      </c>
      <c r="AT23" s="4">
        <f t="shared" si="133"/>
        <v>1</v>
      </c>
      <c r="AU23" s="4">
        <f t="shared" si="133"/>
        <v>1</v>
      </c>
      <c r="AV23" s="4">
        <f t="shared" si="133"/>
        <v>1</v>
      </c>
      <c r="AW23" s="4">
        <f t="shared" si="133"/>
        <v>1</v>
      </c>
      <c r="AX23" s="4">
        <f t="shared" si="133"/>
        <v>1</v>
      </c>
      <c r="AY23" s="4">
        <f t="shared" si="133"/>
        <v>1</v>
      </c>
      <c r="AZ23" s="4">
        <f t="shared" si="133"/>
        <v>1</v>
      </c>
      <c r="BA23" s="4">
        <f t="shared" si="133"/>
        <v>1</v>
      </c>
      <c r="BB23" s="4">
        <f t="shared" si="133"/>
        <v>1</v>
      </c>
      <c r="BC23" s="4"/>
      <c r="BD23" s="4"/>
      <c r="BE23" s="4">
        <f t="shared" si="105"/>
        <v>13</v>
      </c>
      <c r="BF23" s="83">
        <f t="shared" si="106"/>
        <v>32319.33333</v>
      </c>
      <c r="BG23" s="4" t="str">
        <f t="shared" si="107"/>
        <v>רע"ם</v>
      </c>
      <c r="BH23" s="4"/>
      <c r="BI23" s="44" t="s">
        <v>180</v>
      </c>
      <c r="BJ23" s="22">
        <v>3.0</v>
      </c>
      <c r="BK23" s="4" t="str">
        <f t="shared" si="26"/>
        <v>3ש"ס-יהדות התורה</v>
      </c>
      <c r="BL23" s="4" t="str">
        <f t="shared" si="128"/>
        <v>שס</v>
      </c>
      <c r="BM23" s="4"/>
      <c r="BN23" s="4"/>
      <c r="BO23" s="4"/>
      <c r="BP23" s="4"/>
      <c r="BQ23" s="4"/>
    </row>
    <row r="24" ht="14.25" customHeight="1">
      <c r="A24" s="1" t="s">
        <v>72</v>
      </c>
      <c r="B24" s="15" t="s">
        <v>73</v>
      </c>
      <c r="C24" s="82">
        <f>'תוצאות'!C24</f>
        <v>234</v>
      </c>
      <c r="D24" s="4">
        <f t="shared" si="6"/>
        <v>0</v>
      </c>
      <c r="E24" s="4">
        <f t="shared" si="7"/>
        <v>0</v>
      </c>
      <c r="F24" s="4">
        <f t="shared" si="72"/>
        <v>0</v>
      </c>
      <c r="G24" s="4" t="str">
        <f t="shared" si="9"/>
        <v>לא</v>
      </c>
      <c r="H24" s="81">
        <f t="shared" si="10"/>
        <v>0</v>
      </c>
      <c r="I24" s="4" t="str">
        <f t="shared" si="11"/>
        <v/>
      </c>
      <c r="J24" s="4"/>
      <c r="K24" s="4"/>
      <c r="L24" s="4"/>
      <c r="M24" s="4"/>
      <c r="N24" s="79" t="s">
        <v>84</v>
      </c>
      <c r="O24" s="82">
        <f t="shared" si="50"/>
        <v>533</v>
      </c>
      <c r="P24" s="4">
        <f t="shared" si="51"/>
        <v>0</v>
      </c>
      <c r="Q24" s="4">
        <f t="shared" si="14"/>
        <v>0</v>
      </c>
      <c r="R24" s="4"/>
      <c r="S24" s="4"/>
      <c r="T24" s="4"/>
      <c r="U24" s="4">
        <f t="shared" si="17"/>
        <v>0</v>
      </c>
      <c r="V24" s="4">
        <f t="shared" si="18"/>
        <v>0</v>
      </c>
      <c r="W24" s="5">
        <f t="shared" si="19"/>
        <v>0</v>
      </c>
      <c r="X24" s="4">
        <f t="shared" si="73"/>
        <v>0</v>
      </c>
      <c r="Y24" s="4">
        <f t="shared" ref="Y24:AC24" si="134">IF(X24&gt;0, $W24/($X24+Y$2), 0)</f>
        <v>0</v>
      </c>
      <c r="Z24" s="4">
        <f t="shared" si="134"/>
        <v>0</v>
      </c>
      <c r="AA24" s="4">
        <f t="shared" si="134"/>
        <v>0</v>
      </c>
      <c r="AB24" s="4">
        <f t="shared" si="134"/>
        <v>0</v>
      </c>
      <c r="AC24" s="4">
        <f t="shared" si="134"/>
        <v>0</v>
      </c>
      <c r="AD24" s="4">
        <f t="shared" ref="AD24:AH24" si="135">RANK(Y24, $Y$3:$AC$29)</f>
        <v>36</v>
      </c>
      <c r="AE24" s="4">
        <f t="shared" si="135"/>
        <v>36</v>
      </c>
      <c r="AF24" s="4">
        <f t="shared" si="135"/>
        <v>36</v>
      </c>
      <c r="AG24" s="4">
        <f t="shared" si="135"/>
        <v>36</v>
      </c>
      <c r="AH24" s="4">
        <f t="shared" si="135"/>
        <v>36</v>
      </c>
      <c r="AI24" s="4">
        <f t="shared" ref="AI24:AM24" si="136">IF($P24&gt;0, $O24/($P24+AI$2), 0)</f>
        <v>0</v>
      </c>
      <c r="AJ24" s="4">
        <f t="shared" si="136"/>
        <v>0</v>
      </c>
      <c r="AK24" s="4">
        <f t="shared" si="136"/>
        <v>0</v>
      </c>
      <c r="AL24" s="4">
        <f t="shared" si="136"/>
        <v>0</v>
      </c>
      <c r="AM24" s="4">
        <f t="shared" si="136"/>
        <v>0</v>
      </c>
      <c r="AN24" s="4">
        <f t="shared" ref="AN24:AR24" si="137">IF($T25&gt;0, $S25/($T25+AN$2), 0)</f>
        <v>0</v>
      </c>
      <c r="AO24" s="4">
        <f t="shared" si="137"/>
        <v>0</v>
      </c>
      <c r="AP24" s="4">
        <f t="shared" si="137"/>
        <v>0</v>
      </c>
      <c r="AQ24" s="4">
        <f t="shared" si="137"/>
        <v>0</v>
      </c>
      <c r="AR24" s="4">
        <f t="shared" si="137"/>
        <v>0</v>
      </c>
      <c r="AS24" s="4">
        <f t="shared" ref="AS24:BB24" si="138">RANK(AI24, $AI24:$AR24)</f>
        <v>1</v>
      </c>
      <c r="AT24" s="4">
        <f t="shared" si="138"/>
        <v>1</v>
      </c>
      <c r="AU24" s="4">
        <f t="shared" si="138"/>
        <v>1</v>
      </c>
      <c r="AV24" s="4">
        <f t="shared" si="138"/>
        <v>1</v>
      </c>
      <c r="AW24" s="4">
        <f t="shared" si="138"/>
        <v>1</v>
      </c>
      <c r="AX24" s="4">
        <f t="shared" si="138"/>
        <v>1</v>
      </c>
      <c r="AY24" s="4">
        <f t="shared" si="138"/>
        <v>1</v>
      </c>
      <c r="AZ24" s="4">
        <f t="shared" si="138"/>
        <v>1</v>
      </c>
      <c r="BA24" s="4">
        <f t="shared" si="138"/>
        <v>1</v>
      </c>
      <c r="BB24" s="4">
        <f t="shared" si="138"/>
        <v>1</v>
      </c>
      <c r="BC24" s="4"/>
      <c r="BD24" s="4"/>
      <c r="BE24" s="4">
        <f t="shared" si="105"/>
        <v>22</v>
      </c>
      <c r="BF24" s="4">
        <f t="shared" si="106"/>
        <v>0</v>
      </c>
      <c r="BG24" s="4" t="str">
        <f t="shared" si="107"/>
        <v>בל"ד</v>
      </c>
      <c r="BH24" s="4"/>
      <c r="BI24" s="44" t="s">
        <v>181</v>
      </c>
      <c r="BJ24" s="22">
        <v>3.0</v>
      </c>
      <c r="BK24" s="4" t="str">
        <f t="shared" si="26"/>
        <v>3העבודה-מרצ</v>
      </c>
      <c r="BL24" s="4" t="str">
        <f t="shared" si="128"/>
        <v/>
      </c>
      <c r="BM24" s="4"/>
      <c r="BN24" s="4"/>
      <c r="BO24" s="4"/>
      <c r="BP24" s="4"/>
      <c r="BQ24" s="4"/>
    </row>
    <row r="25" ht="14.25" customHeight="1">
      <c r="A25" s="1" t="s">
        <v>75</v>
      </c>
      <c r="B25" s="15" t="s">
        <v>76</v>
      </c>
      <c r="C25" s="82">
        <f>'תוצאות'!C25</f>
        <v>265</v>
      </c>
      <c r="D25" s="4">
        <f t="shared" si="6"/>
        <v>0</v>
      </c>
      <c r="E25" s="4">
        <f t="shared" si="7"/>
        <v>0</v>
      </c>
      <c r="F25" s="4">
        <f t="shared" si="72"/>
        <v>0</v>
      </c>
      <c r="G25" s="4" t="str">
        <f t="shared" si="9"/>
        <v>לא</v>
      </c>
      <c r="H25" s="81">
        <f t="shared" si="10"/>
        <v>0</v>
      </c>
      <c r="I25" s="4" t="str">
        <f t="shared" si="11"/>
        <v/>
      </c>
      <c r="J25" s="4"/>
      <c r="K25" s="4"/>
      <c r="L25" s="4"/>
      <c r="M25" s="4"/>
      <c r="N25" s="79" t="s">
        <v>86</v>
      </c>
      <c r="O25" s="82">
        <f t="shared" si="50"/>
        <v>1344</v>
      </c>
      <c r="P25" s="5">
        <f t="shared" si="51"/>
        <v>0</v>
      </c>
      <c r="Q25" s="4">
        <f t="shared" si="14"/>
        <v>0</v>
      </c>
      <c r="R25" s="4"/>
      <c r="S25" s="4"/>
      <c r="T25" s="4"/>
      <c r="U25" s="4">
        <f t="shared" si="17"/>
        <v>0</v>
      </c>
      <c r="V25" s="4">
        <f t="shared" si="18"/>
        <v>0</v>
      </c>
      <c r="W25" s="5">
        <f t="shared" si="19"/>
        <v>0</v>
      </c>
      <c r="X25" s="4">
        <f t="shared" si="73"/>
        <v>0</v>
      </c>
      <c r="Y25" s="4">
        <f t="shared" ref="Y25:AC25" si="139">IF(X25&gt;0, $W25/($X25+Y$2), 0)</f>
        <v>0</v>
      </c>
      <c r="Z25" s="4">
        <f t="shared" si="139"/>
        <v>0</v>
      </c>
      <c r="AA25" s="4">
        <f t="shared" si="139"/>
        <v>0</v>
      </c>
      <c r="AB25" s="4">
        <f t="shared" si="139"/>
        <v>0</v>
      </c>
      <c r="AC25" s="4">
        <f t="shared" si="139"/>
        <v>0</v>
      </c>
      <c r="AD25" s="4">
        <f t="shared" ref="AD25:AH25" si="140">RANK(Y25, $Y$3:$AC$29)</f>
        <v>36</v>
      </c>
      <c r="AE25" s="4">
        <f t="shared" si="140"/>
        <v>36</v>
      </c>
      <c r="AF25" s="4">
        <f t="shared" si="140"/>
        <v>36</v>
      </c>
      <c r="AG25" s="4">
        <f t="shared" si="140"/>
        <v>36</v>
      </c>
      <c r="AH25" s="4">
        <f t="shared" si="140"/>
        <v>36</v>
      </c>
      <c r="AI25" s="4">
        <f t="shared" ref="AI25:AM25" si="141">IF($P25&gt;0, $O25/($P25+AI$2), 0)</f>
        <v>0</v>
      </c>
      <c r="AJ25" s="4">
        <f t="shared" si="141"/>
        <v>0</v>
      </c>
      <c r="AK25" s="4">
        <f t="shared" si="141"/>
        <v>0</v>
      </c>
      <c r="AL25" s="4">
        <f t="shared" si="141"/>
        <v>0</v>
      </c>
      <c r="AM25" s="4">
        <f t="shared" si="141"/>
        <v>0</v>
      </c>
      <c r="AN25" s="4">
        <f t="shared" ref="AN25:AR25" si="142">IF($T26&gt;0, $S26/($T26+AN$2), 0)</f>
        <v>0</v>
      </c>
      <c r="AO25" s="4">
        <f t="shared" si="142"/>
        <v>0</v>
      </c>
      <c r="AP25" s="4">
        <f t="shared" si="142"/>
        <v>0</v>
      </c>
      <c r="AQ25" s="4">
        <f t="shared" si="142"/>
        <v>0</v>
      </c>
      <c r="AR25" s="4">
        <f t="shared" si="142"/>
        <v>0</v>
      </c>
      <c r="AS25" s="4">
        <f t="shared" ref="AS25:BB25" si="143">RANK(AI25, $AI25:$AR25)</f>
        <v>1</v>
      </c>
      <c r="AT25" s="4">
        <f t="shared" si="143"/>
        <v>1</v>
      </c>
      <c r="AU25" s="4">
        <f t="shared" si="143"/>
        <v>1</v>
      </c>
      <c r="AV25" s="4">
        <f t="shared" si="143"/>
        <v>1</v>
      </c>
      <c r="AW25" s="4">
        <f t="shared" si="143"/>
        <v>1</v>
      </c>
      <c r="AX25" s="4">
        <f t="shared" si="143"/>
        <v>1</v>
      </c>
      <c r="AY25" s="4">
        <f t="shared" si="143"/>
        <v>1</v>
      </c>
      <c r="AZ25" s="4">
        <f t="shared" si="143"/>
        <v>1</v>
      </c>
      <c r="BA25" s="4">
        <f t="shared" si="143"/>
        <v>1</v>
      </c>
      <c r="BB25" s="4">
        <f t="shared" si="143"/>
        <v>1</v>
      </c>
      <c r="BC25" s="4"/>
      <c r="BD25" s="4"/>
      <c r="BE25" s="4">
        <f t="shared" si="105"/>
        <v>22</v>
      </c>
      <c r="BF25" s="4">
        <f t="shared" si="106"/>
        <v>0</v>
      </c>
      <c r="BG25" s="4" t="str">
        <f t="shared" si="107"/>
        <v>הבית היהודי</v>
      </c>
      <c r="BH25" s="4"/>
      <c r="BI25" s="44" t="s">
        <v>34</v>
      </c>
      <c r="BJ25" s="22">
        <v>3.0</v>
      </c>
      <c r="BK25" s="4" t="str">
        <f t="shared" si="26"/>
        <v>3ישראל ביתנו</v>
      </c>
      <c r="BL25" s="4" t="str">
        <f t="shared" si="128"/>
        <v/>
      </c>
      <c r="BM25" s="4"/>
      <c r="BN25" s="4"/>
      <c r="BO25" s="4"/>
      <c r="BP25" s="4"/>
      <c r="BQ25" s="4"/>
    </row>
    <row r="26" ht="14.25" customHeight="1">
      <c r="A26" s="1" t="s">
        <v>79</v>
      </c>
      <c r="B26" s="15" t="s">
        <v>80</v>
      </c>
      <c r="C26" s="82">
        <f>'תוצאות'!C26</f>
        <v>425</v>
      </c>
      <c r="D26" s="4">
        <f t="shared" si="6"/>
        <v>0</v>
      </c>
      <c r="E26" s="4">
        <f t="shared" si="7"/>
        <v>0</v>
      </c>
      <c r="F26" s="4">
        <f t="shared" si="72"/>
        <v>0</v>
      </c>
      <c r="G26" s="4" t="str">
        <f t="shared" si="9"/>
        <v>לא</v>
      </c>
      <c r="H26" s="81">
        <f t="shared" si="10"/>
        <v>0</v>
      </c>
      <c r="I26" s="4" t="str">
        <f t="shared" si="11"/>
        <v/>
      </c>
      <c r="J26" s="4"/>
      <c r="K26" s="4"/>
      <c r="L26" s="4"/>
      <c r="M26" s="4"/>
      <c r="N26" s="79" t="s">
        <v>88</v>
      </c>
      <c r="O26" s="82">
        <f t="shared" si="50"/>
        <v>256</v>
      </c>
      <c r="P26" s="4">
        <f t="shared" si="51"/>
        <v>0</v>
      </c>
      <c r="Q26" s="4">
        <f t="shared" si="14"/>
        <v>0</v>
      </c>
      <c r="R26" s="4"/>
      <c r="S26" s="4"/>
      <c r="T26" s="4"/>
      <c r="U26" s="4">
        <f t="shared" si="17"/>
        <v>0</v>
      </c>
      <c r="V26" s="4">
        <f t="shared" si="18"/>
        <v>0</v>
      </c>
      <c r="W26" s="5">
        <f t="shared" si="19"/>
        <v>0</v>
      </c>
      <c r="X26" s="4">
        <f t="shared" si="73"/>
        <v>0</v>
      </c>
      <c r="Y26" s="4">
        <f t="shared" ref="Y26:AC26" si="144">IF(X26&gt;0, $W26/($X26+Y$2), 0)</f>
        <v>0</v>
      </c>
      <c r="Z26" s="4">
        <f t="shared" si="144"/>
        <v>0</v>
      </c>
      <c r="AA26" s="4">
        <f t="shared" si="144"/>
        <v>0</v>
      </c>
      <c r="AB26" s="4">
        <f t="shared" si="144"/>
        <v>0</v>
      </c>
      <c r="AC26" s="4">
        <f t="shared" si="144"/>
        <v>0</v>
      </c>
      <c r="AD26" s="4">
        <f t="shared" ref="AD26:AH26" si="145">RANK(Y26, $Y$3:$AC$29)</f>
        <v>36</v>
      </c>
      <c r="AE26" s="4">
        <f t="shared" si="145"/>
        <v>36</v>
      </c>
      <c r="AF26" s="4">
        <f t="shared" si="145"/>
        <v>36</v>
      </c>
      <c r="AG26" s="4">
        <f t="shared" si="145"/>
        <v>36</v>
      </c>
      <c r="AH26" s="4">
        <f t="shared" si="145"/>
        <v>36</v>
      </c>
      <c r="AI26" s="4">
        <f t="shared" ref="AI26:AM26" si="146">IF($P26&gt;0, $O26/($P26+AI$2), 0)</f>
        <v>0</v>
      </c>
      <c r="AJ26" s="4">
        <f t="shared" si="146"/>
        <v>0</v>
      </c>
      <c r="AK26" s="4">
        <f t="shared" si="146"/>
        <v>0</v>
      </c>
      <c r="AL26" s="4">
        <f t="shared" si="146"/>
        <v>0</v>
      </c>
      <c r="AM26" s="4">
        <f t="shared" si="146"/>
        <v>0</v>
      </c>
      <c r="AN26" s="4">
        <f t="shared" ref="AN26:AR26" si="147">IF($T27&gt;0, $S27/($T27+AN$2), 0)</f>
        <v>0</v>
      </c>
      <c r="AO26" s="4">
        <f t="shared" si="147"/>
        <v>0</v>
      </c>
      <c r="AP26" s="4">
        <f t="shared" si="147"/>
        <v>0</v>
      </c>
      <c r="AQ26" s="4">
        <f t="shared" si="147"/>
        <v>0</v>
      </c>
      <c r="AR26" s="4">
        <f t="shared" si="147"/>
        <v>0</v>
      </c>
      <c r="AS26" s="4">
        <f t="shared" ref="AS26:BB26" si="148">RANK(AI26, $AI26:$AR26)</f>
        <v>1</v>
      </c>
      <c r="AT26" s="4">
        <f t="shared" si="148"/>
        <v>1</v>
      </c>
      <c r="AU26" s="4">
        <f t="shared" si="148"/>
        <v>1</v>
      </c>
      <c r="AV26" s="4">
        <f t="shared" si="148"/>
        <v>1</v>
      </c>
      <c r="AW26" s="4">
        <f t="shared" si="148"/>
        <v>1</v>
      </c>
      <c r="AX26" s="4">
        <f t="shared" si="148"/>
        <v>1</v>
      </c>
      <c r="AY26" s="4">
        <f t="shared" si="148"/>
        <v>1</v>
      </c>
      <c r="AZ26" s="4">
        <f t="shared" si="148"/>
        <v>1</v>
      </c>
      <c r="BA26" s="4">
        <f t="shared" si="148"/>
        <v>1</v>
      </c>
      <c r="BB26" s="4">
        <f t="shared" si="148"/>
        <v>1</v>
      </c>
      <c r="BC26" s="4"/>
      <c r="BD26" s="4"/>
      <c r="BE26" s="4">
        <f t="shared" si="105"/>
        <v>7</v>
      </c>
      <c r="BF26" s="83">
        <f t="shared" ref="BF26:BF34" si="154">Z3</f>
        <v>35460.76087</v>
      </c>
      <c r="BG26" s="4" t="str">
        <f t="shared" ref="BG26:BG34" si="155">BI3</f>
        <v>ליכוד-ציונות דתית</v>
      </c>
      <c r="BH26" s="4"/>
      <c r="BI26" s="44" t="s">
        <v>41</v>
      </c>
      <c r="BJ26" s="22">
        <v>3.0</v>
      </c>
      <c r="BK26" s="4" t="str">
        <f t="shared" si="26"/>
        <v>3חד"ש-תע"ל</v>
      </c>
      <c r="BL26" s="4" t="str">
        <f t="shared" si="128"/>
        <v/>
      </c>
      <c r="BM26" s="4"/>
      <c r="BN26" s="4"/>
      <c r="BO26" s="4"/>
      <c r="BP26" s="4"/>
      <c r="BQ26" s="4"/>
    </row>
    <row r="27" ht="14.25" customHeight="1">
      <c r="A27" s="1" t="s">
        <v>81</v>
      </c>
      <c r="B27" s="15" t="s">
        <v>82</v>
      </c>
      <c r="C27" s="82">
        <f>'תוצאות'!C27</f>
        <v>1321</v>
      </c>
      <c r="D27" s="4">
        <f t="shared" si="6"/>
        <v>0</v>
      </c>
      <c r="E27" s="4">
        <f t="shared" si="7"/>
        <v>0</v>
      </c>
      <c r="F27" s="4">
        <f t="shared" si="72"/>
        <v>0</v>
      </c>
      <c r="G27" s="4" t="str">
        <f t="shared" si="9"/>
        <v>לא</v>
      </c>
      <c r="H27" s="81">
        <f t="shared" si="10"/>
        <v>0</v>
      </c>
      <c r="I27" s="4" t="str">
        <f t="shared" si="11"/>
        <v/>
      </c>
      <c r="J27" s="4"/>
      <c r="K27" s="4"/>
      <c r="L27" s="4"/>
      <c r="M27" s="4"/>
      <c r="N27" s="79" t="s">
        <v>91</v>
      </c>
      <c r="O27" s="82">
        <f t="shared" si="50"/>
        <v>1018</v>
      </c>
      <c r="P27" s="5">
        <f t="shared" si="51"/>
        <v>0</v>
      </c>
      <c r="Q27" s="4">
        <f t="shared" si="14"/>
        <v>0</v>
      </c>
      <c r="R27" s="4"/>
      <c r="S27" s="4"/>
      <c r="T27" s="4"/>
      <c r="U27" s="4">
        <f t="shared" si="17"/>
        <v>0</v>
      </c>
      <c r="V27" s="4">
        <f t="shared" si="18"/>
        <v>0</v>
      </c>
      <c r="W27" s="5">
        <f t="shared" si="19"/>
        <v>0</v>
      </c>
      <c r="X27" s="4">
        <f t="shared" si="73"/>
        <v>0</v>
      </c>
      <c r="Y27" s="4">
        <f t="shared" ref="Y27:AC27" si="149">IF(X27&gt;0, $W27/($X27+Y$2), 0)</f>
        <v>0</v>
      </c>
      <c r="Z27" s="4">
        <f t="shared" si="149"/>
        <v>0</v>
      </c>
      <c r="AA27" s="4">
        <f t="shared" si="149"/>
        <v>0</v>
      </c>
      <c r="AB27" s="4">
        <f t="shared" si="149"/>
        <v>0</v>
      </c>
      <c r="AC27" s="4">
        <f t="shared" si="149"/>
        <v>0</v>
      </c>
      <c r="AD27" s="4">
        <f t="shared" ref="AD27:AH27" si="150">RANK(Y27, $Y$3:$AC$29)</f>
        <v>36</v>
      </c>
      <c r="AE27" s="4">
        <f t="shared" si="150"/>
        <v>36</v>
      </c>
      <c r="AF27" s="4">
        <f t="shared" si="150"/>
        <v>36</v>
      </c>
      <c r="AG27" s="4">
        <f t="shared" si="150"/>
        <v>36</v>
      </c>
      <c r="AH27" s="4">
        <f t="shared" si="150"/>
        <v>36</v>
      </c>
      <c r="AI27" s="4">
        <f t="shared" ref="AI27:AM27" si="151">IF($P27&gt;0, $O27/($P27+AI$2), 0)</f>
        <v>0</v>
      </c>
      <c r="AJ27" s="4">
        <f t="shared" si="151"/>
        <v>0</v>
      </c>
      <c r="AK27" s="4">
        <f t="shared" si="151"/>
        <v>0</v>
      </c>
      <c r="AL27" s="4">
        <f t="shared" si="151"/>
        <v>0</v>
      </c>
      <c r="AM27" s="4">
        <f t="shared" si="151"/>
        <v>0</v>
      </c>
      <c r="AN27" s="4">
        <f t="shared" ref="AN27:AR27" si="152">IF($T28&gt;0, $S28/($T28+AN$2), 0)</f>
        <v>0</v>
      </c>
      <c r="AO27" s="4">
        <f t="shared" si="152"/>
        <v>0</v>
      </c>
      <c r="AP27" s="4">
        <f t="shared" si="152"/>
        <v>0</v>
      </c>
      <c r="AQ27" s="4">
        <f t="shared" si="152"/>
        <v>0</v>
      </c>
      <c r="AR27" s="4">
        <f t="shared" si="152"/>
        <v>0</v>
      </c>
      <c r="AS27" s="4">
        <f t="shared" ref="AS27:BB27" si="153">RANK(AI27, $AI27:$AR27)</f>
        <v>1</v>
      </c>
      <c r="AT27" s="4">
        <f t="shared" si="153"/>
        <v>1</v>
      </c>
      <c r="AU27" s="4">
        <f t="shared" si="153"/>
        <v>1</v>
      </c>
      <c r="AV27" s="4">
        <f t="shared" si="153"/>
        <v>1</v>
      </c>
      <c r="AW27" s="4">
        <f t="shared" si="153"/>
        <v>1</v>
      </c>
      <c r="AX27" s="4">
        <f t="shared" si="153"/>
        <v>1</v>
      </c>
      <c r="AY27" s="4">
        <f t="shared" si="153"/>
        <v>1</v>
      </c>
      <c r="AZ27" s="4">
        <f t="shared" si="153"/>
        <v>1</v>
      </c>
      <c r="BA27" s="4">
        <f t="shared" si="153"/>
        <v>1</v>
      </c>
      <c r="BB27" s="4">
        <f t="shared" si="153"/>
        <v>1</v>
      </c>
      <c r="BC27" s="4"/>
      <c r="BD27" s="4"/>
      <c r="BE27" s="4">
        <f t="shared" si="105"/>
        <v>6</v>
      </c>
      <c r="BF27" s="83">
        <f t="shared" si="154"/>
        <v>35542.25</v>
      </c>
      <c r="BG27" s="4" t="str">
        <f t="shared" si="155"/>
        <v>יש עתיד-המחנה הממלכתי</v>
      </c>
      <c r="BH27" s="4"/>
      <c r="BI27" s="44" t="s">
        <v>43</v>
      </c>
      <c r="BJ27" s="22">
        <v>3.0</v>
      </c>
      <c r="BK27" s="4" t="str">
        <f t="shared" si="26"/>
        <v>3רע"ם</v>
      </c>
      <c r="BL27" s="4" t="str">
        <f t="shared" si="128"/>
        <v/>
      </c>
      <c r="BM27" s="4"/>
      <c r="BN27" s="4"/>
      <c r="BO27" s="4"/>
      <c r="BP27" s="4"/>
      <c r="BQ27" s="4"/>
    </row>
    <row r="28" ht="14.25" customHeight="1">
      <c r="A28" s="1" t="s">
        <v>84</v>
      </c>
      <c r="B28" s="15" t="s">
        <v>85</v>
      </c>
      <c r="C28" s="82">
        <f>'תוצאות'!C28</f>
        <v>533</v>
      </c>
      <c r="D28" s="4">
        <f t="shared" si="6"/>
        <v>0</v>
      </c>
      <c r="E28" s="4">
        <f t="shared" si="7"/>
        <v>0</v>
      </c>
      <c r="F28" s="4">
        <f t="shared" si="72"/>
        <v>0</v>
      </c>
      <c r="G28" s="4" t="str">
        <f t="shared" si="9"/>
        <v>לא</v>
      </c>
      <c r="H28" s="81">
        <f t="shared" si="10"/>
        <v>0</v>
      </c>
      <c r="I28" s="4" t="str">
        <f t="shared" si="11"/>
        <v/>
      </c>
      <c r="J28" s="4"/>
      <c r="K28" s="4"/>
      <c r="L28" s="4"/>
      <c r="M28" s="4"/>
      <c r="N28" s="44" t="s">
        <v>93</v>
      </c>
      <c r="O28" s="82">
        <f t="shared" si="50"/>
        <v>1213</v>
      </c>
      <c r="P28" s="4">
        <f t="shared" si="51"/>
        <v>0</v>
      </c>
      <c r="Q28" s="4">
        <f t="shared" si="14"/>
        <v>0</v>
      </c>
      <c r="R28" s="4"/>
      <c r="S28" s="4"/>
      <c r="T28" s="4"/>
      <c r="U28" s="4">
        <f t="shared" si="17"/>
        <v>0</v>
      </c>
      <c r="V28" s="4">
        <f t="shared" si="18"/>
        <v>0</v>
      </c>
      <c r="W28" s="5">
        <f t="shared" si="19"/>
        <v>0</v>
      </c>
      <c r="X28" s="4">
        <f t="shared" si="73"/>
        <v>0</v>
      </c>
      <c r="Y28" s="4">
        <f t="shared" ref="Y28:AC28" si="156">IF(X28&gt;0, $W28/($X28+Y$2), 0)</f>
        <v>0</v>
      </c>
      <c r="Z28" s="4">
        <f t="shared" si="156"/>
        <v>0</v>
      </c>
      <c r="AA28" s="4">
        <f t="shared" si="156"/>
        <v>0</v>
      </c>
      <c r="AB28" s="4">
        <f t="shared" si="156"/>
        <v>0</v>
      </c>
      <c r="AC28" s="4">
        <f t="shared" si="156"/>
        <v>0</v>
      </c>
      <c r="AD28" s="4">
        <f t="shared" ref="AD28:AH28" si="157">RANK(Y28, $Y$3:$AC$29)</f>
        <v>36</v>
      </c>
      <c r="AE28" s="4">
        <f t="shared" si="157"/>
        <v>36</v>
      </c>
      <c r="AF28" s="4">
        <f t="shared" si="157"/>
        <v>36</v>
      </c>
      <c r="AG28" s="4">
        <f t="shared" si="157"/>
        <v>36</v>
      </c>
      <c r="AH28" s="4">
        <f t="shared" si="157"/>
        <v>36</v>
      </c>
      <c r="AI28" s="4">
        <f t="shared" ref="AI28:AM28" si="158">IF($P28&gt;0, $O28/($P28+AI$2), 0)</f>
        <v>0</v>
      </c>
      <c r="AJ28" s="4">
        <f t="shared" si="158"/>
        <v>0</v>
      </c>
      <c r="AK28" s="4">
        <f t="shared" si="158"/>
        <v>0</v>
      </c>
      <c r="AL28" s="4">
        <f t="shared" si="158"/>
        <v>0</v>
      </c>
      <c r="AM28" s="4">
        <f t="shared" si="158"/>
        <v>0</v>
      </c>
      <c r="AN28" s="4">
        <f t="shared" ref="AN28:AR28" si="159">IF($T29&gt;0, $S29/($T29+AN$2), 0)</f>
        <v>0</v>
      </c>
      <c r="AO28" s="4">
        <f t="shared" si="159"/>
        <v>0</v>
      </c>
      <c r="AP28" s="4">
        <f t="shared" si="159"/>
        <v>0</v>
      </c>
      <c r="AQ28" s="4">
        <f t="shared" si="159"/>
        <v>0</v>
      </c>
      <c r="AR28" s="4">
        <f t="shared" si="159"/>
        <v>0</v>
      </c>
      <c r="AS28" s="4">
        <f t="shared" ref="AS28:BB28" si="160">RANK(AI28, $AI28:$AR28)</f>
        <v>1</v>
      </c>
      <c r="AT28" s="4">
        <f t="shared" si="160"/>
        <v>1</v>
      </c>
      <c r="AU28" s="4">
        <f t="shared" si="160"/>
        <v>1</v>
      </c>
      <c r="AV28" s="4">
        <f t="shared" si="160"/>
        <v>1</v>
      </c>
      <c r="AW28" s="4">
        <f t="shared" si="160"/>
        <v>1</v>
      </c>
      <c r="AX28" s="4">
        <f t="shared" si="160"/>
        <v>1</v>
      </c>
      <c r="AY28" s="4">
        <f t="shared" si="160"/>
        <v>1</v>
      </c>
      <c r="AZ28" s="4">
        <f t="shared" si="160"/>
        <v>1</v>
      </c>
      <c r="BA28" s="4">
        <f t="shared" si="160"/>
        <v>1</v>
      </c>
      <c r="BB28" s="4">
        <f t="shared" si="160"/>
        <v>1</v>
      </c>
      <c r="BC28" s="4"/>
      <c r="BD28" s="4"/>
      <c r="BE28" s="4">
        <f t="shared" si="105"/>
        <v>8</v>
      </c>
      <c r="BF28" s="83">
        <f t="shared" si="154"/>
        <v>35408.89474</v>
      </c>
      <c r="BG28" s="4" t="str">
        <f t="shared" si="155"/>
        <v>ש"ס-יהדות התורה</v>
      </c>
      <c r="BH28" s="4"/>
      <c r="BI28" s="44" t="s">
        <v>45</v>
      </c>
      <c r="BJ28" s="22">
        <v>3.0</v>
      </c>
      <c r="BK28" s="4" t="str">
        <f t="shared" si="26"/>
        <v>3בל"ד</v>
      </c>
      <c r="BL28" s="4" t="str">
        <f t="shared" si="128"/>
        <v/>
      </c>
      <c r="BM28" s="4"/>
      <c r="BN28" s="4"/>
      <c r="BO28" s="4"/>
      <c r="BP28" s="4"/>
      <c r="BQ28" s="4"/>
    </row>
    <row r="29" ht="14.25" customHeight="1">
      <c r="A29" s="1" t="s">
        <v>86</v>
      </c>
      <c r="B29" s="15" t="s">
        <v>87</v>
      </c>
      <c r="C29" s="82">
        <f>'תוצאות'!C29</f>
        <v>1344</v>
      </c>
      <c r="D29" s="4">
        <f t="shared" si="6"/>
        <v>0</v>
      </c>
      <c r="E29" s="4">
        <f t="shared" si="7"/>
        <v>0</v>
      </c>
      <c r="F29" s="4">
        <f t="shared" si="72"/>
        <v>0</v>
      </c>
      <c r="G29" s="4" t="str">
        <f t="shared" si="9"/>
        <v>לא</v>
      </c>
      <c r="H29" s="81">
        <f t="shared" si="10"/>
        <v>0</v>
      </c>
      <c r="I29" s="4" t="str">
        <f t="shared" si="11"/>
        <v/>
      </c>
      <c r="J29" s="4"/>
      <c r="K29" s="4"/>
      <c r="L29" s="4"/>
      <c r="M29" s="4"/>
      <c r="N29" s="44" t="s">
        <v>95</v>
      </c>
      <c r="O29" s="82">
        <f t="shared" si="50"/>
        <v>413</v>
      </c>
      <c r="P29" s="5">
        <f t="shared" si="51"/>
        <v>0</v>
      </c>
      <c r="Q29" s="4">
        <f t="shared" si="14"/>
        <v>0</v>
      </c>
      <c r="R29" s="4"/>
      <c r="S29" s="4"/>
      <c r="T29" s="4"/>
      <c r="U29" s="4">
        <f t="shared" si="17"/>
        <v>0</v>
      </c>
      <c r="V29" s="4">
        <f t="shared" si="18"/>
        <v>0</v>
      </c>
      <c r="W29" s="5">
        <f t="shared" si="19"/>
        <v>0</v>
      </c>
      <c r="X29" s="4">
        <f t="shared" si="73"/>
        <v>0</v>
      </c>
      <c r="Y29" s="4">
        <f t="shared" ref="Y29:AC29" si="161">IF(X29&gt;0, $W29/($X29+Y$2), 0)</f>
        <v>0</v>
      </c>
      <c r="Z29" s="4">
        <f t="shared" si="161"/>
        <v>0</v>
      </c>
      <c r="AA29" s="4">
        <f t="shared" si="161"/>
        <v>0</v>
      </c>
      <c r="AB29" s="4">
        <f t="shared" si="161"/>
        <v>0</v>
      </c>
      <c r="AC29" s="4">
        <f t="shared" si="161"/>
        <v>0</v>
      </c>
      <c r="AD29" s="4">
        <f t="shared" ref="AD29:AH29" si="162">RANK(Y29, $Y$3:$AC$29)</f>
        <v>36</v>
      </c>
      <c r="AE29" s="4">
        <f t="shared" si="162"/>
        <v>36</v>
      </c>
      <c r="AF29" s="4">
        <f t="shared" si="162"/>
        <v>36</v>
      </c>
      <c r="AG29" s="4">
        <f t="shared" si="162"/>
        <v>36</v>
      </c>
      <c r="AH29" s="4">
        <f t="shared" si="162"/>
        <v>36</v>
      </c>
      <c r="AI29" s="4">
        <f t="shared" ref="AI29:AM29" si="163">IF($P29&gt;0, $O29/($P29+AI$2), 0)</f>
        <v>0</v>
      </c>
      <c r="AJ29" s="4">
        <f t="shared" si="163"/>
        <v>0</v>
      </c>
      <c r="AK29" s="4">
        <f t="shared" si="163"/>
        <v>0</v>
      </c>
      <c r="AL29" s="4">
        <f t="shared" si="163"/>
        <v>0</v>
      </c>
      <c r="AM29" s="4">
        <f t="shared" si="163"/>
        <v>0</v>
      </c>
      <c r="AN29" s="4">
        <f t="shared" ref="AN29:AR29" si="164">IF($T30&gt;0, $S30/($T30+AN$2), 0)</f>
        <v>0</v>
      </c>
      <c r="AO29" s="4">
        <f t="shared" si="164"/>
        <v>0</v>
      </c>
      <c r="AP29" s="4">
        <f t="shared" si="164"/>
        <v>0</v>
      </c>
      <c r="AQ29" s="4">
        <f t="shared" si="164"/>
        <v>0</v>
      </c>
      <c r="AR29" s="4">
        <f t="shared" si="164"/>
        <v>0</v>
      </c>
      <c r="AS29" s="4">
        <f t="shared" ref="AS29:BB29" si="165">RANK(AI29, $AI29:$AR29)</f>
        <v>1</v>
      </c>
      <c r="AT29" s="4">
        <f t="shared" si="165"/>
        <v>1</v>
      </c>
      <c r="AU29" s="4">
        <f t="shared" si="165"/>
        <v>1</v>
      </c>
      <c r="AV29" s="4">
        <f t="shared" si="165"/>
        <v>1</v>
      </c>
      <c r="AW29" s="4">
        <f t="shared" si="165"/>
        <v>1</v>
      </c>
      <c r="AX29" s="4">
        <f t="shared" si="165"/>
        <v>1</v>
      </c>
      <c r="AY29" s="4">
        <f t="shared" si="165"/>
        <v>1</v>
      </c>
      <c r="AZ29" s="4">
        <f t="shared" si="165"/>
        <v>1</v>
      </c>
      <c r="BA29" s="4">
        <f t="shared" si="165"/>
        <v>1</v>
      </c>
      <c r="BB29" s="4">
        <f t="shared" si="165"/>
        <v>1</v>
      </c>
      <c r="BC29" s="4"/>
      <c r="BD29" s="4"/>
      <c r="BE29" s="4">
        <f t="shared" si="105"/>
        <v>16</v>
      </c>
      <c r="BF29" s="83">
        <f t="shared" si="154"/>
        <v>29320.33333</v>
      </c>
      <c r="BG29" s="4" t="str">
        <f t="shared" si="155"/>
        <v>העבודה-מרצ</v>
      </c>
      <c r="BH29" s="4"/>
      <c r="BI29" s="44" t="s">
        <v>47</v>
      </c>
      <c r="BJ29" s="22">
        <v>3.0</v>
      </c>
      <c r="BK29" s="4" t="str">
        <f t="shared" si="26"/>
        <v>3הבית היהודי</v>
      </c>
      <c r="BL29" s="4" t="str">
        <f t="shared" si="128"/>
        <v/>
      </c>
      <c r="BM29" s="4"/>
      <c r="BN29" s="4"/>
      <c r="BO29" s="4"/>
      <c r="BP29" s="4"/>
      <c r="BQ29" s="4"/>
    </row>
    <row r="30" ht="14.25" customHeight="1">
      <c r="A30" s="1" t="s">
        <v>88</v>
      </c>
      <c r="B30" s="15" t="s">
        <v>89</v>
      </c>
      <c r="C30" s="82">
        <f>'תוצאות'!C30</f>
        <v>256</v>
      </c>
      <c r="D30" s="4">
        <f t="shared" si="6"/>
        <v>0</v>
      </c>
      <c r="E30" s="4">
        <f t="shared" si="7"/>
        <v>0</v>
      </c>
      <c r="F30" s="4">
        <f t="shared" si="72"/>
        <v>0</v>
      </c>
      <c r="G30" s="4" t="str">
        <f t="shared" si="9"/>
        <v>לא</v>
      </c>
      <c r="H30" s="81">
        <f t="shared" si="10"/>
        <v>0</v>
      </c>
      <c r="I30" s="4" t="str">
        <f t="shared" si="11"/>
        <v/>
      </c>
      <c r="J30" s="4"/>
      <c r="K30" s="4"/>
      <c r="L30" s="4"/>
      <c r="M30" s="4"/>
      <c r="N30" s="79" t="s">
        <v>97</v>
      </c>
      <c r="O30" s="82">
        <f t="shared" si="50"/>
        <v>1728</v>
      </c>
      <c r="P30" s="4">
        <f t="shared" si="51"/>
        <v>0</v>
      </c>
      <c r="Q30" s="4">
        <f t="shared" si="14"/>
        <v>0</v>
      </c>
      <c r="R30" s="4"/>
      <c r="S30" s="4"/>
      <c r="T30" s="4"/>
      <c r="U30" s="4"/>
      <c r="V30" s="36"/>
      <c r="W30" s="33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4">
        <f t="shared" si="105"/>
        <v>14</v>
      </c>
      <c r="BF30" s="83">
        <f t="shared" si="154"/>
        <v>30522.14286</v>
      </c>
      <c r="BG30" s="4" t="str">
        <f t="shared" si="155"/>
        <v>ישראל ביתנו</v>
      </c>
      <c r="BH30" s="4"/>
      <c r="BI30" s="36"/>
      <c r="BJ30" s="4"/>
      <c r="BK30" s="4"/>
      <c r="BL30" s="4"/>
      <c r="BM30" s="4"/>
      <c r="BN30" s="36"/>
      <c r="BO30" s="36"/>
      <c r="BP30" s="36"/>
      <c r="BQ30" s="36"/>
    </row>
    <row r="31" ht="14.25" customHeight="1">
      <c r="A31" s="1" t="s">
        <v>91</v>
      </c>
      <c r="B31" s="15" t="s">
        <v>92</v>
      </c>
      <c r="C31" s="82">
        <f>'תוצאות'!C31</f>
        <v>1018</v>
      </c>
      <c r="D31" s="4">
        <f t="shared" si="6"/>
        <v>0</v>
      </c>
      <c r="E31" s="4">
        <f t="shared" si="7"/>
        <v>0</v>
      </c>
      <c r="F31" s="4">
        <f t="shared" si="72"/>
        <v>0</v>
      </c>
      <c r="G31" s="4" t="str">
        <f t="shared" si="9"/>
        <v>לא</v>
      </c>
      <c r="H31" s="81">
        <f t="shared" si="10"/>
        <v>0</v>
      </c>
      <c r="I31" s="4" t="str">
        <f t="shared" si="11"/>
        <v/>
      </c>
      <c r="J31" s="4"/>
      <c r="K31" s="4"/>
      <c r="L31" s="4"/>
      <c r="M31" s="4"/>
      <c r="N31" s="79" t="s">
        <v>99</v>
      </c>
      <c r="O31" s="82">
        <f t="shared" si="50"/>
        <v>982</v>
      </c>
      <c r="P31" s="5">
        <f t="shared" si="51"/>
        <v>0</v>
      </c>
      <c r="Q31" s="4">
        <f t="shared" si="14"/>
        <v>0</v>
      </c>
      <c r="R31" s="4"/>
      <c r="S31" s="4"/>
      <c r="T31" s="4"/>
      <c r="U31" s="4"/>
      <c r="V31" s="4"/>
      <c r="W31" s="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>
        <f t="shared" si="105"/>
        <v>15</v>
      </c>
      <c r="BF31" s="83">
        <f t="shared" si="154"/>
        <v>29776.83333</v>
      </c>
      <c r="BG31" s="4" t="str">
        <f t="shared" si="155"/>
        <v>חד"ש-תע"ל</v>
      </c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ht="14.25" customHeight="1">
      <c r="A32" s="1" t="s">
        <v>93</v>
      </c>
      <c r="B32" s="15" t="s">
        <v>94</v>
      </c>
      <c r="C32" s="82">
        <f>'תוצאות'!C32</f>
        <v>1213</v>
      </c>
      <c r="D32" s="4">
        <f t="shared" si="6"/>
        <v>0</v>
      </c>
      <c r="E32" s="4">
        <f t="shared" si="7"/>
        <v>0</v>
      </c>
      <c r="F32" s="4">
        <f t="shared" si="72"/>
        <v>0</v>
      </c>
      <c r="G32" s="4" t="str">
        <f t="shared" si="9"/>
        <v>לא</v>
      </c>
      <c r="H32" s="81">
        <f t="shared" si="10"/>
        <v>0</v>
      </c>
      <c r="I32" s="4" t="str">
        <f t="shared" si="11"/>
        <v/>
      </c>
      <c r="J32" s="4"/>
      <c r="K32" s="4"/>
      <c r="L32" s="4"/>
      <c r="M32" s="4"/>
      <c r="N32" s="79" t="s">
        <v>104</v>
      </c>
      <c r="O32" s="82">
        <f t="shared" si="50"/>
        <v>1619</v>
      </c>
      <c r="P32" s="4">
        <f t="shared" si="51"/>
        <v>0</v>
      </c>
      <c r="Q32" s="4">
        <f t="shared" si="14"/>
        <v>0</v>
      </c>
      <c r="R32" s="4"/>
      <c r="S32" s="4"/>
      <c r="T32" s="4"/>
      <c r="U32" s="4"/>
      <c r="V32" s="4"/>
      <c r="W32" s="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>
        <f t="shared" si="105"/>
        <v>17</v>
      </c>
      <c r="BF32" s="83">
        <f t="shared" si="154"/>
        <v>27702.28571</v>
      </c>
      <c r="BG32" s="4" t="str">
        <f t="shared" si="155"/>
        <v>רע"ם</v>
      </c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ht="14.25" customHeight="1">
      <c r="A33" s="1" t="s">
        <v>95</v>
      </c>
      <c r="B33" s="15" t="s">
        <v>96</v>
      </c>
      <c r="C33" s="82">
        <f>'תוצאות'!C33</f>
        <v>413</v>
      </c>
      <c r="D33" s="4">
        <f t="shared" si="6"/>
        <v>0</v>
      </c>
      <c r="E33" s="4">
        <f t="shared" si="7"/>
        <v>0</v>
      </c>
      <c r="F33" s="4">
        <f t="shared" si="72"/>
        <v>0</v>
      </c>
      <c r="G33" s="4" t="str">
        <f t="shared" si="9"/>
        <v>לא</v>
      </c>
      <c r="H33" s="81">
        <f t="shared" si="10"/>
        <v>0</v>
      </c>
      <c r="I33" s="4" t="str">
        <f t="shared" si="11"/>
        <v/>
      </c>
      <c r="J33" s="4"/>
      <c r="K33" s="4"/>
      <c r="L33" s="4"/>
      <c r="M33" s="4"/>
      <c r="N33" s="79" t="s">
        <v>106</v>
      </c>
      <c r="O33" s="82">
        <f t="shared" si="50"/>
        <v>412</v>
      </c>
      <c r="P33" s="5">
        <f t="shared" si="51"/>
        <v>0</v>
      </c>
      <c r="Q33" s="4">
        <f t="shared" si="14"/>
        <v>0</v>
      </c>
      <c r="R33" s="4"/>
      <c r="S33" s="4"/>
      <c r="T33" s="4"/>
      <c r="U33" s="4"/>
      <c r="V33" s="4"/>
      <c r="W33" s="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f t="shared" si="105"/>
        <v>22</v>
      </c>
      <c r="BF33" s="4">
        <f t="shared" si="154"/>
        <v>0</v>
      </c>
      <c r="BG33" s="4" t="str">
        <f t="shared" si="155"/>
        <v>בל"ד</v>
      </c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ht="14.25" customHeight="1">
      <c r="A34" s="1" t="s">
        <v>97</v>
      </c>
      <c r="B34" s="15" t="s">
        <v>98</v>
      </c>
      <c r="C34" s="82">
        <f>'תוצאות'!C34</f>
        <v>1728</v>
      </c>
      <c r="D34" s="4">
        <f t="shared" si="6"/>
        <v>0</v>
      </c>
      <c r="E34" s="4">
        <f t="shared" si="7"/>
        <v>0</v>
      </c>
      <c r="F34" s="4">
        <f t="shared" si="72"/>
        <v>0</v>
      </c>
      <c r="G34" s="4" t="str">
        <f t="shared" si="9"/>
        <v>לא</v>
      </c>
      <c r="H34" s="81">
        <f t="shared" si="10"/>
        <v>0</v>
      </c>
      <c r="I34" s="4" t="str">
        <f t="shared" si="11"/>
        <v/>
      </c>
      <c r="J34" s="4"/>
      <c r="K34" s="4"/>
      <c r="L34" s="4"/>
      <c r="M34" s="4"/>
      <c r="N34" s="79" t="s">
        <v>108</v>
      </c>
      <c r="O34" s="82">
        <f t="shared" si="50"/>
        <v>1078</v>
      </c>
      <c r="P34" s="4">
        <f t="shared" si="51"/>
        <v>0</v>
      </c>
      <c r="Q34" s="4">
        <f t="shared" si="14"/>
        <v>0</v>
      </c>
      <c r="R34" s="4"/>
      <c r="S34" s="4"/>
      <c r="T34" s="4"/>
      <c r="U34" s="4"/>
      <c r="V34" s="4"/>
      <c r="W34" s="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f t="shared" si="105"/>
        <v>22</v>
      </c>
      <c r="BF34" s="4">
        <f t="shared" si="154"/>
        <v>0</v>
      </c>
      <c r="BG34" s="4" t="str">
        <f t="shared" si="155"/>
        <v>הבית היהודי</v>
      </c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ht="14.25" customHeight="1">
      <c r="A35" s="1" t="s">
        <v>99</v>
      </c>
      <c r="B35" s="15" t="s">
        <v>100</v>
      </c>
      <c r="C35" s="82">
        <f>'תוצאות'!C35</f>
        <v>982</v>
      </c>
      <c r="D35" s="4">
        <f t="shared" si="6"/>
        <v>0</v>
      </c>
      <c r="E35" s="4">
        <f t="shared" si="7"/>
        <v>0</v>
      </c>
      <c r="F35" s="4">
        <f t="shared" si="72"/>
        <v>0</v>
      </c>
      <c r="G35" s="4" t="str">
        <f t="shared" si="9"/>
        <v>לא</v>
      </c>
      <c r="H35" s="81">
        <f t="shared" si="10"/>
        <v>0</v>
      </c>
      <c r="I35" s="4" t="str">
        <f t="shared" si="11"/>
        <v/>
      </c>
      <c r="J35" s="4"/>
      <c r="K35" s="4"/>
      <c r="L35" s="4"/>
      <c r="M35" s="4"/>
      <c r="N35" s="79" t="s">
        <v>111</v>
      </c>
      <c r="O35" s="82">
        <f t="shared" si="50"/>
        <v>1292</v>
      </c>
      <c r="P35" s="5">
        <f t="shared" si="51"/>
        <v>0</v>
      </c>
      <c r="Q35" s="4">
        <f t="shared" si="14"/>
        <v>0</v>
      </c>
      <c r="R35" s="4"/>
      <c r="S35" s="4"/>
      <c r="T35" s="4"/>
      <c r="U35" s="4"/>
      <c r="V35" s="4"/>
      <c r="W35" s="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>
        <f t="shared" si="105"/>
        <v>10</v>
      </c>
      <c r="BF35" s="83">
        <f t="shared" ref="BF35:BF43" si="166">AA3</f>
        <v>34706.2766</v>
      </c>
      <c r="BG35" s="4" t="str">
        <f t="shared" ref="BG35:BG43" si="167">BI3</f>
        <v>ליכוד-ציונות דתית</v>
      </c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ht="14.25" customHeight="1">
      <c r="A36" s="1" t="s">
        <v>104</v>
      </c>
      <c r="B36" s="15" t="s">
        <v>182</v>
      </c>
      <c r="C36" s="82">
        <f>'תוצאות'!C36</f>
        <v>1619</v>
      </c>
      <c r="D36" s="4">
        <f t="shared" si="6"/>
        <v>0</v>
      </c>
      <c r="E36" s="4">
        <f t="shared" si="7"/>
        <v>0</v>
      </c>
      <c r="F36" s="4">
        <f t="shared" si="72"/>
        <v>0</v>
      </c>
      <c r="G36" s="4" t="str">
        <f t="shared" si="9"/>
        <v>לא</v>
      </c>
      <c r="H36" s="81">
        <f t="shared" si="10"/>
        <v>0</v>
      </c>
      <c r="I36" s="4" t="str">
        <f t="shared" si="11"/>
        <v/>
      </c>
      <c r="J36" s="4"/>
      <c r="K36" s="4"/>
      <c r="L36" s="4"/>
      <c r="M36" s="4"/>
      <c r="N36" s="44" t="s">
        <v>114</v>
      </c>
      <c r="O36" s="82">
        <f t="shared" si="50"/>
        <v>14781</v>
      </c>
      <c r="P36" s="4">
        <f t="shared" si="51"/>
        <v>0</v>
      </c>
      <c r="Q36" s="4">
        <f t="shared" si="14"/>
        <v>0</v>
      </c>
      <c r="R36" s="4"/>
      <c r="S36" s="4"/>
      <c r="T36" s="4"/>
      <c r="U36" s="4"/>
      <c r="V36" s="4"/>
      <c r="W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>
        <f t="shared" si="105"/>
        <v>11</v>
      </c>
      <c r="BF36" s="83">
        <f t="shared" si="166"/>
        <v>34581.64865</v>
      </c>
      <c r="BG36" s="4" t="str">
        <f t="shared" si="167"/>
        <v>יש עתיד-המחנה הממלכתי</v>
      </c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ht="14.25" customHeight="1">
      <c r="A37" s="1" t="s">
        <v>106</v>
      </c>
      <c r="B37" s="15" t="s">
        <v>107</v>
      </c>
      <c r="C37" s="82">
        <f>'תוצאות'!C37</f>
        <v>412</v>
      </c>
      <c r="D37" s="4">
        <f t="shared" si="6"/>
        <v>0</v>
      </c>
      <c r="E37" s="4">
        <f t="shared" si="7"/>
        <v>0</v>
      </c>
      <c r="F37" s="4">
        <f t="shared" si="72"/>
        <v>0</v>
      </c>
      <c r="G37" s="4" t="str">
        <f t="shared" si="9"/>
        <v>לא</v>
      </c>
      <c r="H37" s="81">
        <f t="shared" si="10"/>
        <v>0</v>
      </c>
      <c r="I37" s="4" t="str">
        <f t="shared" si="11"/>
        <v/>
      </c>
      <c r="J37" s="4"/>
      <c r="K37" s="4"/>
      <c r="L37" s="4"/>
      <c r="M37" s="4"/>
      <c r="N37" s="44" t="s">
        <v>117</v>
      </c>
      <c r="O37" s="82">
        <f t="shared" si="50"/>
        <v>948</v>
      </c>
      <c r="P37" s="5">
        <f t="shared" si="51"/>
        <v>0</v>
      </c>
      <c r="Q37" s="4">
        <f t="shared" si="14"/>
        <v>0</v>
      </c>
      <c r="R37" s="4"/>
      <c r="S37" s="4"/>
      <c r="T37" s="4"/>
      <c r="U37" s="4"/>
      <c r="V37" s="4"/>
      <c r="W37" s="5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>
        <f t="shared" si="105"/>
        <v>12</v>
      </c>
      <c r="BF37" s="83">
        <f t="shared" si="166"/>
        <v>33638.45</v>
      </c>
      <c r="BG37" s="4" t="str">
        <f t="shared" si="167"/>
        <v>ש"ס-יהדות התורה</v>
      </c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ht="14.25" customHeight="1">
      <c r="A38" s="1" t="s">
        <v>108</v>
      </c>
      <c r="B38" s="15" t="s">
        <v>109</v>
      </c>
      <c r="C38" s="82">
        <f>'תוצאות'!C38</f>
        <v>1078</v>
      </c>
      <c r="D38" s="4">
        <f t="shared" si="6"/>
        <v>0</v>
      </c>
      <c r="E38" s="4">
        <f t="shared" si="7"/>
        <v>0</v>
      </c>
      <c r="F38" s="4">
        <f t="shared" si="72"/>
        <v>0</v>
      </c>
      <c r="G38" s="4" t="str">
        <f t="shared" si="9"/>
        <v>לא</v>
      </c>
      <c r="H38" s="81">
        <f t="shared" si="10"/>
        <v>0</v>
      </c>
      <c r="I38" s="4" t="str">
        <f t="shared" si="11"/>
        <v/>
      </c>
      <c r="J38" s="4"/>
      <c r="K38" s="4"/>
      <c r="L38" s="4"/>
      <c r="M38" s="4"/>
      <c r="N38" s="79" t="s">
        <v>119</v>
      </c>
      <c r="O38" s="82">
        <f t="shared" si="50"/>
        <v>1669</v>
      </c>
      <c r="P38" s="5">
        <f t="shared" si="51"/>
        <v>0</v>
      </c>
      <c r="Q38" s="4">
        <f t="shared" si="14"/>
        <v>0</v>
      </c>
      <c r="R38" s="4"/>
      <c r="S38" s="4"/>
      <c r="T38" s="4"/>
      <c r="U38" s="4"/>
      <c r="V38" s="4"/>
      <c r="W38" s="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>
        <f t="shared" si="105"/>
        <v>20</v>
      </c>
      <c r="BF38" s="83">
        <f t="shared" si="166"/>
        <v>25131.71429</v>
      </c>
      <c r="BG38" s="4" t="str">
        <f t="shared" si="167"/>
        <v>העבודה-מרצ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ht="14.25" customHeight="1">
      <c r="A39" s="1" t="s">
        <v>111</v>
      </c>
      <c r="B39" s="15" t="s">
        <v>112</v>
      </c>
      <c r="C39" s="82">
        <f>'תוצאות'!C39</f>
        <v>1292</v>
      </c>
      <c r="D39" s="4">
        <f t="shared" si="6"/>
        <v>0</v>
      </c>
      <c r="E39" s="4">
        <f t="shared" si="7"/>
        <v>0</v>
      </c>
      <c r="F39" s="4">
        <f t="shared" si="72"/>
        <v>0</v>
      </c>
      <c r="G39" s="4" t="str">
        <f t="shared" si="9"/>
        <v>לא</v>
      </c>
      <c r="H39" s="81">
        <f t="shared" si="10"/>
        <v>0</v>
      </c>
      <c r="I39" s="4" t="str">
        <f t="shared" si="11"/>
        <v/>
      </c>
      <c r="J39" s="4"/>
      <c r="K39" s="4"/>
      <c r="L39" s="4"/>
      <c r="M39" s="4"/>
      <c r="N39" s="79"/>
      <c r="O39" s="82" t="str">
        <f>C44</f>
        <v/>
      </c>
      <c r="P39" s="5" t="str">
        <f>E44</f>
        <v/>
      </c>
      <c r="Q39" s="4"/>
      <c r="R39" s="4"/>
      <c r="S39" s="4"/>
      <c r="T39" s="4"/>
      <c r="U39" s="4"/>
      <c r="V39" s="4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>
        <f t="shared" si="105"/>
        <v>18</v>
      </c>
      <c r="BF39" s="83">
        <f t="shared" si="166"/>
        <v>26706.875</v>
      </c>
      <c r="BG39" s="4" t="str">
        <f t="shared" si="167"/>
        <v>ישראל ביתנו</v>
      </c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ht="14.25" customHeight="1">
      <c r="A40" s="1" t="s">
        <v>114</v>
      </c>
      <c r="B40" s="15" t="s">
        <v>115</v>
      </c>
      <c r="C40" s="82">
        <f>'תוצאות'!C40</f>
        <v>14781</v>
      </c>
      <c r="D40" s="4">
        <f t="shared" si="6"/>
        <v>0</v>
      </c>
      <c r="E40" s="4">
        <f t="shared" si="7"/>
        <v>0</v>
      </c>
      <c r="F40" s="4">
        <f t="shared" si="72"/>
        <v>0</v>
      </c>
      <c r="G40" s="4" t="str">
        <f t="shared" si="9"/>
        <v>לא</v>
      </c>
      <c r="H40" s="81">
        <f t="shared" si="10"/>
        <v>0</v>
      </c>
      <c r="I40" s="4" t="str">
        <f t="shared" si="11"/>
        <v/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>
        <f t="shared" si="105"/>
        <v>19</v>
      </c>
      <c r="BF40" s="83">
        <f t="shared" si="166"/>
        <v>25523</v>
      </c>
      <c r="BG40" s="4" t="str">
        <f t="shared" si="167"/>
        <v>חד"ש-תע"ל</v>
      </c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ht="14.25" customHeight="1">
      <c r="A41" s="1" t="s">
        <v>117</v>
      </c>
      <c r="B41" s="15" t="s">
        <v>118</v>
      </c>
      <c r="C41" s="82">
        <f>'תוצאות'!C41</f>
        <v>948</v>
      </c>
      <c r="D41" s="4">
        <f t="shared" si="6"/>
        <v>0</v>
      </c>
      <c r="E41" s="4">
        <f t="shared" si="7"/>
        <v>0</v>
      </c>
      <c r="F41" s="4">
        <f t="shared" si="72"/>
        <v>0</v>
      </c>
      <c r="G41" s="4" t="str">
        <f t="shared" si="9"/>
        <v>לא</v>
      </c>
      <c r="H41" s="81">
        <f t="shared" si="10"/>
        <v>0</v>
      </c>
      <c r="I41" s="4" t="str">
        <f t="shared" si="11"/>
        <v/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>
        <f t="shared" si="105"/>
        <v>21</v>
      </c>
      <c r="BF41" s="83">
        <f t="shared" si="166"/>
        <v>24239.5</v>
      </c>
      <c r="BG41" s="4" t="str">
        <f t="shared" si="167"/>
        <v>רע"ם</v>
      </c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ht="14.25" customHeight="1">
      <c r="A42" s="1" t="s">
        <v>119</v>
      </c>
      <c r="B42" s="15" t="s">
        <v>120</v>
      </c>
      <c r="C42" s="82">
        <f>'תוצאות'!C42</f>
        <v>1669</v>
      </c>
      <c r="D42" s="4">
        <f t="shared" si="6"/>
        <v>0</v>
      </c>
      <c r="E42" s="4">
        <f t="shared" si="7"/>
        <v>0</v>
      </c>
      <c r="F42" s="4">
        <f t="shared" si="72"/>
        <v>0</v>
      </c>
      <c r="G42" s="4" t="str">
        <f t="shared" si="9"/>
        <v>לא</v>
      </c>
      <c r="H42" s="81">
        <f t="shared" si="10"/>
        <v>0</v>
      </c>
      <c r="I42" s="4" t="str">
        <f t="shared" si="11"/>
        <v/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>
        <f t="shared" si="105"/>
        <v>22</v>
      </c>
      <c r="BF42" s="4">
        <f t="shared" si="166"/>
        <v>0</v>
      </c>
      <c r="BG42" s="4" t="str">
        <f t="shared" si="167"/>
        <v>בל"ד</v>
      </c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ht="14.25" customHeight="1">
      <c r="A43" s="1"/>
      <c r="B43" s="15"/>
      <c r="C43" s="82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>
        <f t="shared" si="105"/>
        <v>22</v>
      </c>
      <c r="BF43" s="4">
        <f t="shared" si="166"/>
        <v>0</v>
      </c>
      <c r="BG43" s="4" t="str">
        <f t="shared" si="167"/>
        <v>הבית היהודי</v>
      </c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ht="14.25" customHeight="1">
      <c r="A44" s="1"/>
      <c r="B44" s="15"/>
      <c r="C44" s="82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1" t="s">
        <v>10</v>
      </c>
      <c r="BG48" s="1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13">
        <v>1.0</v>
      </c>
      <c r="BF49" s="5" t="str">
        <f t="shared" ref="BF49:BF67" si="168">VLOOKUP(BE49, $BE$17:$BG$43, 3, 0)</f>
        <v>ש"ס-יהדות התורה</v>
      </c>
      <c r="BG49" s="5">
        <f t="shared" ref="BG49:BG67" si="169">COUNTIF($BF$49:$BF49, BF49)</f>
        <v>1</v>
      </c>
      <c r="BH49" s="4" t="str">
        <f t="shared" ref="BH49:BH67" si="170">BG49&amp;BF49</f>
        <v>1ש"ס-יהדות התורה</v>
      </c>
      <c r="BI49" s="4" t="str">
        <f t="shared" ref="BI49:BI67" si="171">VLOOKUP(BH49, $BK$3:$BL$43, 2, 0)</f>
        <v>שס</v>
      </c>
      <c r="BJ49" s="4"/>
      <c r="BK49" s="4"/>
      <c r="BL49" s="4"/>
      <c r="BM49" s="4"/>
      <c r="BN49" s="4"/>
      <c r="BO49" s="4"/>
      <c r="BP49" s="4"/>
      <c r="BQ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13">
        <v>2.0</v>
      </c>
      <c r="BF50" s="5" t="str">
        <f t="shared" si="168"/>
        <v>יש עתיד-המחנה הממלכתי</v>
      </c>
      <c r="BG50" s="5">
        <f t="shared" si="169"/>
        <v>1</v>
      </c>
      <c r="BH50" s="4" t="str">
        <f t="shared" si="170"/>
        <v>1יש עתיד-המחנה הממלכתי</v>
      </c>
      <c r="BI50" s="4" t="str">
        <f t="shared" si="171"/>
        <v>כן</v>
      </c>
      <c r="BJ50" s="4"/>
      <c r="BK50" s="4"/>
      <c r="BL50" s="4"/>
      <c r="BM50" s="4"/>
      <c r="BN50" s="4"/>
      <c r="BO50" s="4"/>
      <c r="BP50" s="4"/>
      <c r="BQ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22">
        <v>3.0</v>
      </c>
      <c r="BF51" s="5" t="str">
        <f t="shared" si="168"/>
        <v>ליכוד-ציונות דתית</v>
      </c>
      <c r="BG51" s="5">
        <f t="shared" si="169"/>
        <v>1</v>
      </c>
      <c r="BH51" s="4" t="str">
        <f t="shared" si="170"/>
        <v>1ליכוד-ציונות דתית</v>
      </c>
      <c r="BI51" s="4" t="str">
        <f t="shared" si="171"/>
        <v>מחל</v>
      </c>
      <c r="BJ51" s="4"/>
      <c r="BK51" s="4"/>
      <c r="BL51" s="4"/>
      <c r="BM51" s="4"/>
      <c r="BN51" s="4"/>
      <c r="BO51" s="4"/>
      <c r="BP51" s="4"/>
      <c r="BQ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22">
        <v>4.0</v>
      </c>
      <c r="BF52" s="5" t="str">
        <f t="shared" si="168"/>
        <v>חד"ש-תע"ל</v>
      </c>
      <c r="BG52" s="5">
        <f t="shared" si="169"/>
        <v>1</v>
      </c>
      <c r="BH52" s="4" t="str">
        <f t="shared" si="170"/>
        <v>1חד"ש-תע"ל</v>
      </c>
      <c r="BI52" s="4" t="str">
        <f t="shared" si="171"/>
        <v>ום</v>
      </c>
      <c r="BJ52" s="4"/>
      <c r="BK52" s="4"/>
      <c r="BL52" s="4"/>
      <c r="BM52" s="4"/>
      <c r="BN52" s="4"/>
      <c r="BO52" s="4"/>
      <c r="BP52" s="4"/>
      <c r="BQ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22">
        <v>5.0</v>
      </c>
      <c r="BF53" s="5" t="str">
        <f t="shared" si="168"/>
        <v>ישראל ביתנו</v>
      </c>
      <c r="BG53" s="5">
        <f t="shared" si="169"/>
        <v>1</v>
      </c>
      <c r="BH53" s="4" t="str">
        <f t="shared" si="170"/>
        <v>1ישראל ביתנו</v>
      </c>
      <c r="BI53" s="4" t="str">
        <f t="shared" si="171"/>
        <v>ל</v>
      </c>
      <c r="BJ53" s="4"/>
      <c r="BK53" s="4"/>
      <c r="BL53" s="4"/>
      <c r="BM53" s="4"/>
      <c r="BN53" s="4"/>
      <c r="BO53" s="4"/>
      <c r="BP53" s="4"/>
      <c r="BQ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22">
        <v>6.0</v>
      </c>
      <c r="BF54" s="5" t="str">
        <f t="shared" si="168"/>
        <v>יש עתיד-המחנה הממלכתי</v>
      </c>
      <c r="BG54" s="5">
        <f t="shared" si="169"/>
        <v>2</v>
      </c>
      <c r="BH54" s="4" t="str">
        <f t="shared" si="170"/>
        <v>2יש עתיד-המחנה הממלכתי</v>
      </c>
      <c r="BI54" s="4" t="str">
        <f t="shared" si="171"/>
        <v>פה</v>
      </c>
      <c r="BJ54" s="4"/>
      <c r="BK54" s="4"/>
      <c r="BL54" s="4"/>
      <c r="BM54" s="4"/>
      <c r="BN54" s="4"/>
      <c r="BO54" s="4"/>
      <c r="BP54" s="4"/>
      <c r="BQ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22">
        <v>7.0</v>
      </c>
      <c r="BF55" s="5" t="str">
        <f t="shared" si="168"/>
        <v>ליכוד-ציונות דתית</v>
      </c>
      <c r="BG55" s="5">
        <f t="shared" si="169"/>
        <v>2</v>
      </c>
      <c r="BH55" s="4" t="str">
        <f t="shared" si="170"/>
        <v>2ליכוד-ציונות דתית</v>
      </c>
      <c r="BI55" s="4" t="str">
        <f t="shared" si="171"/>
        <v>מחל</v>
      </c>
      <c r="BJ55" s="4"/>
      <c r="BK55" s="4"/>
      <c r="BL55" s="4"/>
      <c r="BM55" s="4"/>
      <c r="BN55" s="4"/>
      <c r="BO55" s="4"/>
      <c r="BP55" s="4"/>
      <c r="BQ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22">
        <v>8.0</v>
      </c>
      <c r="BF56" s="5" t="str">
        <f t="shared" si="168"/>
        <v>ש"ס-יהדות התורה</v>
      </c>
      <c r="BG56" s="5">
        <f t="shared" si="169"/>
        <v>2</v>
      </c>
      <c r="BH56" s="4" t="str">
        <f t="shared" si="170"/>
        <v>2ש"ס-יהדות התורה</v>
      </c>
      <c r="BI56" s="4" t="str">
        <f t="shared" si="171"/>
        <v>ג</v>
      </c>
      <c r="BJ56" s="4"/>
      <c r="BK56" s="4"/>
      <c r="BL56" s="4"/>
      <c r="BM56" s="4"/>
      <c r="BN56" s="4"/>
      <c r="BO56" s="4"/>
      <c r="BP56" s="4"/>
      <c r="BQ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22">
        <v>9.0</v>
      </c>
      <c r="BF57" s="5" t="str">
        <f t="shared" si="168"/>
        <v>העבודה-מרצ</v>
      </c>
      <c r="BG57" s="5">
        <f t="shared" si="169"/>
        <v>1</v>
      </c>
      <c r="BH57" s="4" t="str">
        <f t="shared" si="170"/>
        <v>1העבודה-מרצ</v>
      </c>
      <c r="BI57" s="4" t="str">
        <f t="shared" si="171"/>
        <v>אמת</v>
      </c>
      <c r="BJ57" s="4"/>
      <c r="BK57" s="4"/>
      <c r="BL57" s="4"/>
      <c r="BM57" s="4"/>
      <c r="BN57" s="4"/>
      <c r="BO57" s="4"/>
      <c r="BP57" s="4"/>
      <c r="BQ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22">
        <v>10.0</v>
      </c>
      <c r="BF58" s="5" t="str">
        <f t="shared" si="168"/>
        <v>ליכוד-ציונות דתית</v>
      </c>
      <c r="BG58" s="5">
        <f t="shared" si="169"/>
        <v>3</v>
      </c>
      <c r="BH58" s="4" t="str">
        <f t="shared" si="170"/>
        <v>3ליכוד-ציונות דתית</v>
      </c>
      <c r="BI58" s="4" t="str">
        <f t="shared" si="171"/>
        <v>ט</v>
      </c>
      <c r="BJ58" s="4"/>
      <c r="BK58" s="4"/>
      <c r="BL58" s="4"/>
      <c r="BM58" s="4"/>
      <c r="BN58" s="4"/>
      <c r="BO58" s="4"/>
      <c r="BP58" s="4"/>
      <c r="BQ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22">
        <v>11.0</v>
      </c>
      <c r="BF59" s="5" t="str">
        <f t="shared" si="168"/>
        <v>יש עתיד-המחנה הממלכתי</v>
      </c>
      <c r="BG59" s="5">
        <f t="shared" si="169"/>
        <v>3</v>
      </c>
      <c r="BH59" s="4" t="str">
        <f t="shared" si="170"/>
        <v>3יש עתיד-המחנה הממלכתי</v>
      </c>
      <c r="BI59" s="4" t="str">
        <f t="shared" si="171"/>
        <v>פה</v>
      </c>
      <c r="BJ59" s="4"/>
      <c r="BK59" s="4"/>
      <c r="BL59" s="4"/>
      <c r="BM59" s="4"/>
      <c r="BN59" s="4"/>
      <c r="BO59" s="4"/>
      <c r="BP59" s="4"/>
      <c r="BQ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22">
        <v>12.0</v>
      </c>
      <c r="BF60" s="5" t="str">
        <f t="shared" si="168"/>
        <v>ש"ס-יהדות התורה</v>
      </c>
      <c r="BG60" s="5">
        <f t="shared" si="169"/>
        <v>3</v>
      </c>
      <c r="BH60" s="4" t="str">
        <f t="shared" si="170"/>
        <v>3ש"ס-יהדות התורה</v>
      </c>
      <c r="BI60" s="4" t="str">
        <f t="shared" si="171"/>
        <v>שס</v>
      </c>
      <c r="BJ60" s="4"/>
      <c r="BK60" s="4"/>
      <c r="BL60" s="4"/>
      <c r="BM60" s="4"/>
      <c r="BN60" s="4"/>
      <c r="BO60" s="4"/>
      <c r="BP60" s="4"/>
      <c r="BQ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84">
        <v>13.0</v>
      </c>
      <c r="BF61" s="5" t="str">
        <f t="shared" si="168"/>
        <v>רע"ם</v>
      </c>
      <c r="BG61" s="5">
        <f t="shared" si="169"/>
        <v>1</v>
      </c>
      <c r="BH61" s="4" t="str">
        <f t="shared" si="170"/>
        <v>1רע"ם</v>
      </c>
      <c r="BI61" s="4" t="str">
        <f t="shared" si="171"/>
        <v>עם</v>
      </c>
      <c r="BJ61" s="4"/>
      <c r="BK61" s="4"/>
      <c r="BL61" s="4"/>
      <c r="BM61" s="4"/>
      <c r="BN61" s="4"/>
      <c r="BO61" s="4"/>
      <c r="BP61" s="4"/>
      <c r="BQ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22">
        <v>14.0</v>
      </c>
      <c r="BF62" s="5" t="str">
        <f t="shared" si="168"/>
        <v>ישראל ביתנו</v>
      </c>
      <c r="BG62" s="5">
        <f t="shared" si="169"/>
        <v>2</v>
      </c>
      <c r="BH62" s="4" t="str">
        <f t="shared" si="170"/>
        <v>2ישראל ביתנו</v>
      </c>
      <c r="BI62" s="4" t="str">
        <f t="shared" si="171"/>
        <v>ל</v>
      </c>
      <c r="BJ62" s="4"/>
      <c r="BK62" s="4"/>
      <c r="BL62" s="4"/>
      <c r="BM62" s="4"/>
      <c r="BN62" s="4"/>
      <c r="BO62" s="4"/>
      <c r="BP62" s="4"/>
      <c r="BQ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22">
        <v>15.0</v>
      </c>
      <c r="BF63" s="5" t="str">
        <f t="shared" si="168"/>
        <v>חד"ש-תע"ל</v>
      </c>
      <c r="BG63" s="5">
        <f t="shared" si="169"/>
        <v>2</v>
      </c>
      <c r="BH63" s="4" t="str">
        <f t="shared" si="170"/>
        <v>2חד"ש-תע"ל</v>
      </c>
      <c r="BI63" s="4" t="str">
        <f t="shared" si="171"/>
        <v>ום</v>
      </c>
      <c r="BJ63" s="4"/>
      <c r="BK63" s="4"/>
      <c r="BL63" s="4"/>
      <c r="BM63" s="4"/>
      <c r="BN63" s="4"/>
      <c r="BO63" s="4"/>
      <c r="BP63" s="4"/>
      <c r="BQ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22">
        <v>16.0</v>
      </c>
      <c r="BF64" s="5" t="str">
        <f t="shared" si="168"/>
        <v>העבודה-מרצ</v>
      </c>
      <c r="BG64" s="5">
        <f t="shared" si="169"/>
        <v>2</v>
      </c>
      <c r="BH64" s="4" t="str">
        <f t="shared" si="170"/>
        <v>2העבודה-מרצ</v>
      </c>
      <c r="BI64" s="4" t="str">
        <f t="shared" si="171"/>
        <v>אמת</v>
      </c>
      <c r="BJ64" s="4"/>
      <c r="BK64" s="4"/>
      <c r="BL64" s="4"/>
      <c r="BM64" s="4"/>
      <c r="BN64" s="4"/>
      <c r="BO64" s="4"/>
      <c r="BP64" s="4"/>
      <c r="BQ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22">
        <v>17.0</v>
      </c>
      <c r="BF65" s="5" t="str">
        <f t="shared" si="168"/>
        <v>רע"ם</v>
      </c>
      <c r="BG65" s="5">
        <f t="shared" si="169"/>
        <v>2</v>
      </c>
      <c r="BH65" s="4" t="str">
        <f t="shared" si="170"/>
        <v>2רע"ם</v>
      </c>
      <c r="BI65" s="4" t="str">
        <f t="shared" si="171"/>
        <v>עם</v>
      </c>
      <c r="BJ65" s="4"/>
      <c r="BK65" s="4"/>
      <c r="BL65" s="4"/>
      <c r="BM65" s="4"/>
      <c r="BN65" s="4"/>
      <c r="BO65" s="4"/>
      <c r="BP65" s="4"/>
      <c r="BQ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22">
        <v>18.0</v>
      </c>
      <c r="BF66" s="5" t="str">
        <f t="shared" si="168"/>
        <v>ישראל ביתנו</v>
      </c>
      <c r="BG66" s="5">
        <f t="shared" si="169"/>
        <v>3</v>
      </c>
      <c r="BH66" s="4" t="str">
        <f t="shared" si="170"/>
        <v>3ישראל ביתנו</v>
      </c>
      <c r="BI66" s="4" t="str">
        <f t="shared" si="171"/>
        <v/>
      </c>
      <c r="BJ66" s="4"/>
      <c r="BK66" s="4"/>
      <c r="BL66" s="4"/>
      <c r="BM66" s="4"/>
      <c r="BN66" s="4"/>
      <c r="BO66" s="4"/>
      <c r="BP66" s="4"/>
      <c r="BQ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22">
        <v>19.0</v>
      </c>
      <c r="BF67" s="5" t="str">
        <f t="shared" si="168"/>
        <v>חד"ש-תע"ל</v>
      </c>
      <c r="BG67" s="5">
        <f t="shared" si="169"/>
        <v>3</v>
      </c>
      <c r="BH67" s="4" t="str">
        <f t="shared" si="170"/>
        <v>3חד"ש-תע"ל</v>
      </c>
      <c r="BI67" s="4" t="str">
        <f t="shared" si="171"/>
        <v/>
      </c>
      <c r="BJ67" s="4"/>
      <c r="BK67" s="4"/>
      <c r="BL67" s="4"/>
      <c r="BM67" s="4"/>
      <c r="BN67" s="4"/>
      <c r="BO67" s="4"/>
      <c r="BP67" s="4"/>
      <c r="BQ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</row>
    <row r="999" ht="14.25" customHeight="1">
      <c r="A999" s="4"/>
      <c r="B999" s="4"/>
      <c r="C999" s="82" t="str">
        <f>'תוצאות'!C1000</f>
        <v/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</row>
  </sheetData>
  <mergeCells count="1">
    <mergeCell ref="BE48:BF48"/>
  </mergeCells>
  <conditionalFormatting sqref="A3:B44">
    <cfRule type="expression" dxfId="2" priority="1">
      <formula>$G3="לא"</formula>
    </cfRule>
  </conditionalFormatting>
  <conditionalFormatting sqref="A3:B44">
    <cfRule type="expression" dxfId="3" priority="2">
      <formula>$G3="כן"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" width="3.0"/>
    <col customWidth="1" min="3" max="3" width="13.25"/>
    <col customWidth="1" min="4" max="4" width="9.0"/>
    <col customWidth="1" min="5" max="5" width="3.0"/>
    <col customWidth="1" min="6" max="6" width="2.0"/>
    <col customWidth="1" min="7" max="7" width="10.5"/>
    <col customWidth="1" min="8" max="8" width="11.5"/>
    <col customWidth="1" min="9" max="9" width="8.63"/>
    <col customWidth="1" min="10" max="10" width="10.25"/>
    <col customWidth="1" min="11" max="12" width="2.88"/>
    <col customWidth="1" min="13" max="14" width="1.88"/>
    <col customWidth="1" min="15" max="15" width="9.25"/>
    <col customWidth="1" min="16" max="16" width="8.88"/>
    <col customWidth="1" min="17" max="17" width="7.5"/>
    <col customWidth="1" min="18" max="18" width="8.5"/>
    <col customWidth="1" min="19" max="26" width="8.63"/>
  </cols>
  <sheetData>
    <row r="1" ht="14.25" customHeight="1">
      <c r="A1" s="4"/>
      <c r="B1" s="4"/>
      <c r="C1" s="4"/>
      <c r="D1" s="4"/>
      <c r="E1" s="21"/>
      <c r="F1" s="82"/>
      <c r="G1" s="44" t="s">
        <v>183</v>
      </c>
      <c r="H1" s="44" t="s">
        <v>184</v>
      </c>
      <c r="I1" s="4"/>
      <c r="J1" s="44" t="s">
        <v>185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>
        <f t="shared" ref="A2:A41" si="1">RANK(X2, $X$2:$X$50, 1)</f>
        <v>1</v>
      </c>
      <c r="B2" s="85">
        <v>1.0</v>
      </c>
      <c r="C2" s="86" t="s">
        <v>18</v>
      </c>
      <c r="D2" s="55">
        <f>'נוסחאות'!C3</f>
        <v>1115049</v>
      </c>
      <c r="E2" s="4">
        <f>'נוסחאות'!D3</f>
        <v>32</v>
      </c>
      <c r="F2" s="4">
        <f>'נוסחאות'!F3</f>
        <v>2</v>
      </c>
      <c r="G2" s="55">
        <f t="shared" ref="G2:G41" si="2">D2-$J$2</f>
        <v>960228</v>
      </c>
      <c r="H2" s="56">
        <f t="shared" ref="H2:H41" si="3">((D2/(sum(D$2:D$50)))*100)-3.25</f>
        <v>20.15723397</v>
      </c>
      <c r="I2" s="4"/>
      <c r="J2" s="55">
        <f>roundup(SUM(D2:D50)*3.25%,0)</f>
        <v>154821</v>
      </c>
      <c r="K2" s="4"/>
      <c r="L2" s="4"/>
      <c r="M2" s="4"/>
      <c r="N2" s="87"/>
      <c r="O2" s="4"/>
      <c r="P2" s="4"/>
      <c r="Q2" s="4"/>
      <c r="R2" s="88"/>
      <c r="S2" s="4"/>
      <c r="T2" s="4"/>
      <c r="U2" s="4">
        <f t="shared" ref="U2:U41" si="6">RANK(D2, $D$2:$D$50)</f>
        <v>1</v>
      </c>
      <c r="V2" s="4">
        <f t="shared" ref="V2:V41" si="7">RANK(E2, $E$2:$E$50)</f>
        <v>1</v>
      </c>
      <c r="W2" s="22">
        <v>0.1</v>
      </c>
      <c r="X2" s="4">
        <f t="shared" ref="X2:X41" si="8">U2+V2+W2</f>
        <v>2.1</v>
      </c>
      <c r="Y2" s="4"/>
      <c r="Z2" s="4"/>
    </row>
    <row r="3" ht="14.25" customHeight="1">
      <c r="A3" s="4">
        <f t="shared" si="1"/>
        <v>2</v>
      </c>
      <c r="B3" s="89">
        <v>2.0</v>
      </c>
      <c r="C3" s="90" t="s">
        <v>21</v>
      </c>
      <c r="D3" s="91">
        <f>'נוסחאות'!C4</f>
        <v>847145</v>
      </c>
      <c r="E3" s="92">
        <f>'נוסחאות'!D4</f>
        <v>24</v>
      </c>
      <c r="F3" s="92">
        <f>'נוסחאות'!F4</f>
        <v>1</v>
      </c>
      <c r="G3" s="91">
        <f t="shared" si="2"/>
        <v>692324</v>
      </c>
      <c r="H3" s="93">
        <f t="shared" si="3"/>
        <v>14.53336308</v>
      </c>
      <c r="I3" s="4"/>
      <c r="J3" s="4"/>
      <c r="K3" s="4"/>
      <c r="L3" s="4"/>
      <c r="M3" s="5"/>
      <c r="N3" s="87">
        <f t="shared" ref="N3:N9" si="9">rank(P3,$P$3:$P$9)</f>
        <v>1</v>
      </c>
      <c r="O3" s="44" t="str">
        <f t="shared" ref="O3:P3" si="4">C8</f>
        <v>ישראל ביתנו</v>
      </c>
      <c r="P3" s="55">
        <f t="shared" si="4"/>
        <v>213655</v>
      </c>
      <c r="Q3" s="55">
        <f t="shared" ref="Q3:R3" si="5">G8</f>
        <v>58834</v>
      </c>
      <c r="R3" s="88">
        <f t="shared" si="5"/>
        <v>1.23506978</v>
      </c>
      <c r="S3" s="4"/>
      <c r="T3" s="4"/>
      <c r="U3" s="4">
        <f t="shared" si="6"/>
        <v>2</v>
      </c>
      <c r="V3" s="4">
        <f t="shared" si="7"/>
        <v>2</v>
      </c>
      <c r="W3" s="22">
        <v>0.2</v>
      </c>
      <c r="X3" s="4">
        <f t="shared" si="8"/>
        <v>4.2</v>
      </c>
      <c r="Y3" s="4"/>
      <c r="Z3" s="4"/>
    </row>
    <row r="4" ht="14.25" customHeight="1">
      <c r="A4" s="4">
        <f t="shared" si="1"/>
        <v>3</v>
      </c>
      <c r="B4" s="85">
        <v>3.0</v>
      </c>
      <c r="C4" s="86" t="s">
        <v>24</v>
      </c>
      <c r="D4" s="55">
        <f>'נוסחאות'!C5</f>
        <v>516146</v>
      </c>
      <c r="E4" s="4">
        <f>'נוסחאות'!D5</f>
        <v>14</v>
      </c>
      <c r="F4" s="4">
        <f>'נוסחאות'!F5</f>
        <v>0</v>
      </c>
      <c r="G4" s="55">
        <f t="shared" si="2"/>
        <v>361325</v>
      </c>
      <c r="H4" s="56">
        <f t="shared" si="3"/>
        <v>7.584994859</v>
      </c>
      <c r="I4" s="4"/>
      <c r="J4" s="4"/>
      <c r="K4" s="4"/>
      <c r="L4" s="4"/>
      <c r="M4" s="5"/>
      <c r="N4" s="87">
        <f t="shared" si="9"/>
        <v>4</v>
      </c>
      <c r="O4" s="44" t="str">
        <f t="shared" ref="O4:P4" si="10">C9</f>
        <v>העבודה</v>
      </c>
      <c r="P4" s="55">
        <f t="shared" si="10"/>
        <v>175922</v>
      </c>
      <c r="Q4" s="55">
        <f t="shared" ref="Q4:R4" si="11">G9</f>
        <v>21101</v>
      </c>
      <c r="R4" s="88">
        <f t="shared" si="11"/>
        <v>0.4429744018</v>
      </c>
      <c r="S4" s="4"/>
      <c r="T4" s="4"/>
      <c r="U4" s="4">
        <f t="shared" si="6"/>
        <v>3</v>
      </c>
      <c r="V4" s="4">
        <f t="shared" si="7"/>
        <v>3</v>
      </c>
      <c r="W4" s="22">
        <v>0.3</v>
      </c>
      <c r="X4" s="4">
        <f t="shared" si="8"/>
        <v>6.3</v>
      </c>
      <c r="Y4" s="4"/>
      <c r="Z4" s="4"/>
    </row>
    <row r="5" ht="14.25" customHeight="1">
      <c r="A5" s="4">
        <f t="shared" si="1"/>
        <v>4</v>
      </c>
      <c r="B5" s="89">
        <v>4.0</v>
      </c>
      <c r="C5" s="90" t="s">
        <v>26</v>
      </c>
      <c r="D5" s="91">
        <f>'נוסחאות'!C6</f>
        <v>432376</v>
      </c>
      <c r="E5" s="92">
        <f>'נוסחאות'!D6</f>
        <v>12</v>
      </c>
      <c r="F5" s="92">
        <f>'נוסחאות'!F6</f>
        <v>1</v>
      </c>
      <c r="G5" s="91">
        <f t="shared" si="2"/>
        <v>277555</v>
      </c>
      <c r="H5" s="93">
        <f t="shared" si="3"/>
        <v>5.826485601</v>
      </c>
      <c r="I5" s="4"/>
      <c r="J5" s="4"/>
      <c r="K5" s="4"/>
      <c r="L5" s="4"/>
      <c r="M5" s="5"/>
      <c r="N5" s="87">
        <f t="shared" si="9"/>
        <v>5</v>
      </c>
      <c r="O5" s="44" t="str">
        <f t="shared" ref="O5:P5" si="12">C10</f>
        <v>מרצ</v>
      </c>
      <c r="P5" s="55">
        <f t="shared" si="12"/>
        <v>150696</v>
      </c>
      <c r="Q5" s="55">
        <f t="shared" ref="Q5:R5" si="13">G10</f>
        <v>-4125</v>
      </c>
      <c r="R5" s="88">
        <f t="shared" si="13"/>
        <v>-0.0865726262</v>
      </c>
      <c r="S5" s="4"/>
      <c r="T5" s="4"/>
      <c r="U5" s="4">
        <f t="shared" si="6"/>
        <v>4</v>
      </c>
      <c r="V5" s="4">
        <f t="shared" si="7"/>
        <v>4</v>
      </c>
      <c r="W5" s="22">
        <v>0.4</v>
      </c>
      <c r="X5" s="4">
        <f t="shared" si="8"/>
        <v>8.4</v>
      </c>
      <c r="Y5" s="4"/>
      <c r="Z5" s="4"/>
    </row>
    <row r="6" ht="14.25" customHeight="1">
      <c r="A6" s="4">
        <f t="shared" si="1"/>
        <v>5</v>
      </c>
      <c r="B6" s="85">
        <v>5.0</v>
      </c>
      <c r="C6" s="86" t="s">
        <v>29</v>
      </c>
      <c r="D6" s="55">
        <f>'נוסחאות'!C7</f>
        <v>392644</v>
      </c>
      <c r="E6" s="4">
        <f>'נוסחאות'!D7</f>
        <v>11</v>
      </c>
      <c r="F6" s="4">
        <f>'נוסחאות'!F7</f>
        <v>1</v>
      </c>
      <c r="G6" s="55">
        <f t="shared" si="2"/>
        <v>237823</v>
      </c>
      <c r="H6" s="56">
        <f t="shared" si="3"/>
        <v>4.99242699</v>
      </c>
      <c r="I6" s="4"/>
      <c r="J6" s="4"/>
      <c r="K6" s="4"/>
      <c r="L6" s="4"/>
      <c r="M6" s="5"/>
      <c r="N6" s="87">
        <f t="shared" si="9"/>
        <v>3</v>
      </c>
      <c r="O6" s="44" t="str">
        <f t="shared" ref="O6:P6" si="14">C11</f>
        <v>חד"ש-תע"ל</v>
      </c>
      <c r="P6" s="55">
        <f t="shared" si="14"/>
        <v>178661</v>
      </c>
      <c r="Q6" s="55">
        <f t="shared" ref="Q6:R6" si="15">G11</f>
        <v>23840</v>
      </c>
      <c r="R6" s="88">
        <f t="shared" si="15"/>
        <v>0.5004717977</v>
      </c>
      <c r="S6" s="4"/>
      <c r="T6" s="4"/>
      <c r="U6" s="4">
        <f t="shared" si="6"/>
        <v>5</v>
      </c>
      <c r="V6" s="4">
        <f t="shared" si="7"/>
        <v>5</v>
      </c>
      <c r="W6" s="22">
        <v>0.5</v>
      </c>
      <c r="X6" s="4">
        <f t="shared" si="8"/>
        <v>10.5</v>
      </c>
      <c r="Y6" s="4"/>
      <c r="Z6" s="4"/>
    </row>
    <row r="7" ht="14.25" customHeight="1">
      <c r="A7" s="4">
        <f t="shared" si="1"/>
        <v>6</v>
      </c>
      <c r="B7" s="85">
        <v>6.0</v>
      </c>
      <c r="C7" s="86" t="s">
        <v>31</v>
      </c>
      <c r="D7" s="55">
        <f>'נוסחאות'!C8</f>
        <v>280125</v>
      </c>
      <c r="E7" s="4">
        <f>'נוסחאות'!D8</f>
        <v>7</v>
      </c>
      <c r="F7" s="4">
        <f>'נוסחאות'!F8</f>
        <v>0</v>
      </c>
      <c r="G7" s="55">
        <f t="shared" si="2"/>
        <v>125304</v>
      </c>
      <c r="H7" s="56">
        <f t="shared" si="3"/>
        <v>2.630415493</v>
      </c>
      <c r="I7" s="4"/>
      <c r="J7" s="4"/>
      <c r="K7" s="4"/>
      <c r="L7" s="4"/>
      <c r="M7" s="5"/>
      <c r="N7" s="87">
        <f t="shared" si="9"/>
        <v>2</v>
      </c>
      <c r="O7" s="44" t="str">
        <f t="shared" ref="O7:P7" si="16">C12</f>
        <v>רע"ם</v>
      </c>
      <c r="P7" s="55">
        <f t="shared" si="16"/>
        <v>193916</v>
      </c>
      <c r="Q7" s="55">
        <f t="shared" ref="Q7:R7" si="17">G12</f>
        <v>39095</v>
      </c>
      <c r="R7" s="88">
        <f t="shared" si="17"/>
        <v>0.8207064727</v>
      </c>
      <c r="S7" s="4"/>
      <c r="T7" s="4"/>
      <c r="U7" s="4">
        <f t="shared" si="6"/>
        <v>6</v>
      </c>
      <c r="V7" s="4">
        <f t="shared" si="7"/>
        <v>6</v>
      </c>
      <c r="W7" s="22">
        <v>0.6</v>
      </c>
      <c r="X7" s="4">
        <f t="shared" si="8"/>
        <v>12.6</v>
      </c>
      <c r="Y7" s="4"/>
      <c r="Z7" s="4"/>
    </row>
    <row r="8" ht="14.25" customHeight="1">
      <c r="A8" s="4">
        <f t="shared" si="1"/>
        <v>7</v>
      </c>
      <c r="B8" s="85">
        <v>7.0</v>
      </c>
      <c r="C8" s="86" t="s">
        <v>34</v>
      </c>
      <c r="D8" s="55">
        <f>'נוסחאות'!C9</f>
        <v>213655</v>
      </c>
      <c r="E8" s="4">
        <f>'נוסחאות'!D9</f>
        <v>6</v>
      </c>
      <c r="F8" s="4">
        <f>'נוסחאות'!F9</f>
        <v>1</v>
      </c>
      <c r="G8" s="55">
        <f t="shared" si="2"/>
        <v>58834</v>
      </c>
      <c r="H8" s="56">
        <f t="shared" si="3"/>
        <v>1.23506978</v>
      </c>
      <c r="I8" s="4"/>
      <c r="J8" s="4"/>
      <c r="K8" s="4"/>
      <c r="L8" s="4"/>
      <c r="M8" s="5"/>
      <c r="N8" s="87">
        <f t="shared" si="9"/>
        <v>6</v>
      </c>
      <c r="O8" s="44" t="str">
        <f t="shared" ref="O8:P8" si="18">C13</f>
        <v>בל"ד</v>
      </c>
      <c r="P8" s="55">
        <f t="shared" si="18"/>
        <v>138093</v>
      </c>
      <c r="Q8" s="55">
        <f t="shared" ref="Q8:R8" si="19">G13</f>
        <v>-16728</v>
      </c>
      <c r="R8" s="88">
        <f t="shared" si="19"/>
        <v>-0.3511362191</v>
      </c>
      <c r="S8" s="4"/>
      <c r="T8" s="4"/>
      <c r="U8" s="4">
        <f t="shared" si="6"/>
        <v>7</v>
      </c>
      <c r="V8" s="4">
        <f t="shared" si="7"/>
        <v>7</v>
      </c>
      <c r="W8" s="22">
        <v>0.7</v>
      </c>
      <c r="X8" s="4">
        <f t="shared" si="8"/>
        <v>14.7</v>
      </c>
      <c r="Y8" s="4"/>
      <c r="Z8" s="4"/>
    </row>
    <row r="9" ht="14.25" customHeight="1">
      <c r="A9" s="4">
        <f t="shared" si="1"/>
        <v>10</v>
      </c>
      <c r="B9" s="89">
        <v>8.0</v>
      </c>
      <c r="C9" s="90" t="s">
        <v>37</v>
      </c>
      <c r="D9" s="91">
        <f>'נוסחאות'!C10</f>
        <v>175922</v>
      </c>
      <c r="E9" s="92">
        <f>'נוסחאות'!D10</f>
        <v>4</v>
      </c>
      <c r="F9" s="92">
        <f>'נוסחאות'!F10</f>
        <v>0</v>
      </c>
      <c r="G9" s="91">
        <f t="shared" si="2"/>
        <v>21101</v>
      </c>
      <c r="H9" s="93">
        <f t="shared" si="3"/>
        <v>0.4429744018</v>
      </c>
      <c r="I9" s="4"/>
      <c r="J9" s="4"/>
      <c r="K9" s="4"/>
      <c r="L9" s="4"/>
      <c r="M9" s="5"/>
      <c r="N9" s="87">
        <f t="shared" si="9"/>
        <v>7</v>
      </c>
      <c r="O9" s="44" t="str">
        <f t="shared" ref="O9:P9" si="20">C14</f>
        <v>הבית היהודי</v>
      </c>
      <c r="P9" s="55">
        <f t="shared" si="20"/>
        <v>56793</v>
      </c>
      <c r="Q9" s="55">
        <f t="shared" ref="Q9:R9" si="21">G14</f>
        <v>-98028</v>
      </c>
      <c r="R9" s="88">
        <f t="shared" si="21"/>
        <v>-2.057794959</v>
      </c>
      <c r="S9" s="4"/>
      <c r="T9" s="4"/>
      <c r="U9" s="4">
        <f t="shared" si="6"/>
        <v>10</v>
      </c>
      <c r="V9" s="4">
        <f t="shared" si="7"/>
        <v>10</v>
      </c>
      <c r="W9" s="22">
        <v>0.8</v>
      </c>
      <c r="X9" s="4">
        <f t="shared" si="8"/>
        <v>20.8</v>
      </c>
      <c r="Y9" s="4"/>
      <c r="Z9" s="4"/>
    </row>
    <row r="10" ht="14.25" customHeight="1">
      <c r="A10" s="4">
        <f t="shared" si="1"/>
        <v>11</v>
      </c>
      <c r="B10" s="89">
        <v>9.0</v>
      </c>
      <c r="C10" s="90" t="s">
        <v>39</v>
      </c>
      <c r="D10" s="91">
        <f>'נוסחאות'!C11</f>
        <v>150696</v>
      </c>
      <c r="E10" s="92">
        <f>'נוסחאות'!D11</f>
        <v>0</v>
      </c>
      <c r="F10" s="92">
        <f>'נוסחאות'!F11</f>
        <v>0</v>
      </c>
      <c r="G10" s="91">
        <f t="shared" si="2"/>
        <v>-4125</v>
      </c>
      <c r="H10" s="93">
        <f t="shared" si="3"/>
        <v>-0.0865726262</v>
      </c>
      <c r="I10" s="4"/>
      <c r="J10" s="4"/>
      <c r="K10" s="4"/>
      <c r="L10" s="4"/>
      <c r="M10" s="5"/>
      <c r="N10" s="4"/>
      <c r="O10" s="4"/>
      <c r="P10" s="4"/>
      <c r="Q10" s="4"/>
      <c r="R10" s="4"/>
      <c r="S10" s="4"/>
      <c r="T10" s="4"/>
      <c r="U10" s="4">
        <f t="shared" si="6"/>
        <v>11</v>
      </c>
      <c r="V10" s="4">
        <f t="shared" si="7"/>
        <v>11</v>
      </c>
      <c r="W10" s="22">
        <v>0.9</v>
      </c>
      <c r="X10" s="4">
        <f t="shared" si="8"/>
        <v>22.9</v>
      </c>
      <c r="Y10" s="4"/>
      <c r="Z10" s="4"/>
    </row>
    <row r="11" ht="14.25" customHeight="1">
      <c r="A11" s="4">
        <f t="shared" si="1"/>
        <v>9</v>
      </c>
      <c r="B11" s="85">
        <v>10.0</v>
      </c>
      <c r="C11" s="86" t="s">
        <v>41</v>
      </c>
      <c r="D11" s="55">
        <f>'נוסחאות'!C12</f>
        <v>178661</v>
      </c>
      <c r="E11" s="4">
        <f>'נוסחאות'!D12</f>
        <v>5</v>
      </c>
      <c r="F11" s="4">
        <f>'נוסחאות'!F12</f>
        <v>1</v>
      </c>
      <c r="G11" s="55">
        <f t="shared" si="2"/>
        <v>23840</v>
      </c>
      <c r="H11" s="56">
        <f t="shared" si="3"/>
        <v>0.5004717977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>
        <f t="shared" si="6"/>
        <v>9</v>
      </c>
      <c r="V11" s="4">
        <f t="shared" si="7"/>
        <v>8</v>
      </c>
      <c r="W11" s="22">
        <v>1.0</v>
      </c>
      <c r="X11" s="4">
        <f t="shared" si="8"/>
        <v>18</v>
      </c>
      <c r="Y11" s="4"/>
      <c r="Z11" s="4"/>
    </row>
    <row r="12" ht="14.25" customHeight="1">
      <c r="A12" s="4">
        <f t="shared" si="1"/>
        <v>8</v>
      </c>
      <c r="B12" s="85">
        <v>11.0</v>
      </c>
      <c r="C12" s="86" t="s">
        <v>43</v>
      </c>
      <c r="D12" s="55">
        <f>'נוסחאות'!C13</f>
        <v>193916</v>
      </c>
      <c r="E12" s="4">
        <f>'נוסחאות'!D13</f>
        <v>5</v>
      </c>
      <c r="F12" s="4">
        <f>'נוסחאות'!F13</f>
        <v>0</v>
      </c>
      <c r="G12" s="55">
        <f t="shared" si="2"/>
        <v>39095</v>
      </c>
      <c r="H12" s="56">
        <f t="shared" si="3"/>
        <v>0.8207064727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>
        <f t="shared" si="6"/>
        <v>8</v>
      </c>
      <c r="V12" s="4">
        <f t="shared" si="7"/>
        <v>8</v>
      </c>
      <c r="W12" s="22">
        <v>1.1</v>
      </c>
      <c r="X12" s="4">
        <f t="shared" si="8"/>
        <v>17.1</v>
      </c>
      <c r="Y12" s="4"/>
      <c r="Z12" s="4"/>
    </row>
    <row r="13" ht="14.25" customHeight="1">
      <c r="A13" s="4">
        <f t="shared" si="1"/>
        <v>12</v>
      </c>
      <c r="B13" s="89">
        <v>12.0</v>
      </c>
      <c r="C13" s="90" t="s">
        <v>45</v>
      </c>
      <c r="D13" s="91">
        <f>'נוסחאות'!C14</f>
        <v>138093</v>
      </c>
      <c r="E13" s="92">
        <f>'נוסחאות'!D14</f>
        <v>0</v>
      </c>
      <c r="F13" s="92">
        <f>'נוסחאות'!F14</f>
        <v>0</v>
      </c>
      <c r="G13" s="91">
        <f t="shared" si="2"/>
        <v>-16728</v>
      </c>
      <c r="H13" s="93">
        <f t="shared" si="3"/>
        <v>-0.3511362191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>
        <f t="shared" si="6"/>
        <v>12</v>
      </c>
      <c r="V13" s="4">
        <f t="shared" si="7"/>
        <v>11</v>
      </c>
      <c r="W13" s="22">
        <v>1.2</v>
      </c>
      <c r="X13" s="4">
        <f t="shared" si="8"/>
        <v>24.2</v>
      </c>
      <c r="Y13" s="4"/>
      <c r="Z13" s="4"/>
    </row>
    <row r="14" ht="14.25" customHeight="1">
      <c r="A14" s="4">
        <f t="shared" si="1"/>
        <v>13</v>
      </c>
      <c r="B14" s="89">
        <v>13.0</v>
      </c>
      <c r="C14" s="90" t="s">
        <v>47</v>
      </c>
      <c r="D14" s="91">
        <f>'נוסחאות'!C15</f>
        <v>56793</v>
      </c>
      <c r="E14" s="92">
        <f>'נוסחאות'!D15</f>
        <v>0</v>
      </c>
      <c r="F14" s="92">
        <f>'נוסחאות'!F15</f>
        <v>0</v>
      </c>
      <c r="G14" s="91">
        <f t="shared" si="2"/>
        <v>-98028</v>
      </c>
      <c r="H14" s="93">
        <f t="shared" si="3"/>
        <v>-2.057794959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>
        <f t="shared" si="6"/>
        <v>13</v>
      </c>
      <c r="V14" s="4">
        <f t="shared" si="7"/>
        <v>11</v>
      </c>
      <c r="W14" s="22">
        <v>1.3</v>
      </c>
      <c r="X14" s="4">
        <f t="shared" si="8"/>
        <v>25.3</v>
      </c>
      <c r="Y14" s="4"/>
      <c r="Z14" s="4"/>
    </row>
    <row r="15" ht="14.25" customHeight="1">
      <c r="A15" s="4">
        <f t="shared" si="1"/>
        <v>15</v>
      </c>
      <c r="B15" s="85">
        <v>14.0</v>
      </c>
      <c r="C15" s="86" t="s">
        <v>49</v>
      </c>
      <c r="D15" s="55">
        <f>'נוסחאות'!C16</f>
        <v>13911</v>
      </c>
      <c r="E15" s="4">
        <f>'נוסחאות'!D16</f>
        <v>0</v>
      </c>
      <c r="F15" s="4">
        <f>'נוסחאות'!F16</f>
        <v>0</v>
      </c>
      <c r="G15" s="55">
        <f t="shared" si="2"/>
        <v>-140910</v>
      </c>
      <c r="H15" s="56">
        <f t="shared" si="3"/>
        <v>-2.957978724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>
        <f t="shared" si="6"/>
        <v>16</v>
      </c>
      <c r="V15" s="4">
        <f t="shared" si="7"/>
        <v>11</v>
      </c>
      <c r="W15" s="22">
        <v>1.4</v>
      </c>
      <c r="X15" s="4">
        <f t="shared" si="8"/>
        <v>28.4</v>
      </c>
      <c r="Y15" s="4"/>
      <c r="Z15" s="4"/>
    </row>
    <row r="16" ht="14.25" customHeight="1">
      <c r="A16" s="4">
        <f t="shared" si="1"/>
        <v>23</v>
      </c>
      <c r="B16" s="85">
        <v>15.0</v>
      </c>
      <c r="C16" s="86" t="s">
        <v>51</v>
      </c>
      <c r="D16" s="55">
        <f>'נוסחאות'!C17</f>
        <v>1156</v>
      </c>
      <c r="E16" s="4">
        <f>'נוסחאות'!D17</f>
        <v>0</v>
      </c>
      <c r="F16" s="4">
        <f>'נוסחאות'!F17</f>
        <v>0</v>
      </c>
      <c r="G16" s="55">
        <f t="shared" si="2"/>
        <v>-153665</v>
      </c>
      <c r="H16" s="56">
        <f t="shared" si="3"/>
        <v>-3.225733118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>
        <f t="shared" si="6"/>
        <v>25</v>
      </c>
      <c r="V16" s="4">
        <f t="shared" si="7"/>
        <v>11</v>
      </c>
      <c r="W16" s="22">
        <v>1.5</v>
      </c>
      <c r="X16" s="4">
        <f t="shared" si="8"/>
        <v>37.5</v>
      </c>
      <c r="Y16" s="4"/>
      <c r="Z16" s="4"/>
    </row>
    <row r="17" ht="14.25" customHeight="1">
      <c r="A17" s="4">
        <f t="shared" si="1"/>
        <v>16</v>
      </c>
      <c r="B17" s="85">
        <v>16.0</v>
      </c>
      <c r="C17" s="86" t="s">
        <v>54</v>
      </c>
      <c r="D17" s="55">
        <f>'נוסחאות'!C18</f>
        <v>8794</v>
      </c>
      <c r="E17" s="4">
        <f>'נוסחאות'!D18</f>
        <v>0</v>
      </c>
      <c r="F17" s="4">
        <f>'נוסחאות'!F18</f>
        <v>0</v>
      </c>
      <c r="G17" s="55">
        <f t="shared" si="2"/>
        <v>-146027</v>
      </c>
      <c r="H17" s="56">
        <f t="shared" si="3"/>
        <v>-3.065395363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>
        <f t="shared" si="6"/>
        <v>17</v>
      </c>
      <c r="V17" s="4">
        <f t="shared" si="7"/>
        <v>11</v>
      </c>
      <c r="W17" s="22">
        <v>1.6</v>
      </c>
      <c r="X17" s="4">
        <f t="shared" si="8"/>
        <v>29.6</v>
      </c>
      <c r="Y17" s="4"/>
      <c r="Z17" s="4"/>
    </row>
    <row r="18" ht="14.25" customHeight="1">
      <c r="A18" s="4">
        <f t="shared" si="1"/>
        <v>14</v>
      </c>
      <c r="B18" s="85">
        <v>17.0</v>
      </c>
      <c r="C18" s="86" t="s">
        <v>58</v>
      </c>
      <c r="D18" s="55">
        <f>'נוסחאות'!C19</f>
        <v>15817</v>
      </c>
      <c r="E18" s="4">
        <f>'נוסחאות'!D19</f>
        <v>0</v>
      </c>
      <c r="F18" s="4">
        <f>'נוסחאות'!F19</f>
        <v>0</v>
      </c>
      <c r="G18" s="55">
        <f t="shared" si="2"/>
        <v>-139004</v>
      </c>
      <c r="H18" s="56">
        <f t="shared" si="3"/>
        <v>-2.917967758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>
        <f t="shared" si="6"/>
        <v>14</v>
      </c>
      <c r="V18" s="4">
        <f t="shared" si="7"/>
        <v>11</v>
      </c>
      <c r="W18" s="22">
        <v>1.7</v>
      </c>
      <c r="X18" s="4">
        <f t="shared" si="8"/>
        <v>26.7</v>
      </c>
      <c r="Y18" s="4"/>
      <c r="Z18" s="4"/>
    </row>
    <row r="19" ht="14.25" customHeight="1">
      <c r="A19" s="4">
        <f t="shared" si="1"/>
        <v>30</v>
      </c>
      <c r="B19" s="85">
        <v>18.0</v>
      </c>
      <c r="C19" s="86" t="s">
        <v>62</v>
      </c>
      <c r="D19" s="55">
        <f>'נוסחאות'!C20</f>
        <v>530</v>
      </c>
      <c r="E19" s="4">
        <f>'נוסחאות'!D20</f>
        <v>0</v>
      </c>
      <c r="F19" s="4">
        <f>'נוסחאות'!F20</f>
        <v>0</v>
      </c>
      <c r="G19" s="55">
        <f t="shared" si="2"/>
        <v>-154291</v>
      </c>
      <c r="H19" s="56">
        <f t="shared" si="3"/>
        <v>-3.23887418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>
        <f t="shared" si="6"/>
        <v>31</v>
      </c>
      <c r="V19" s="4">
        <f t="shared" si="7"/>
        <v>11</v>
      </c>
      <c r="W19" s="22">
        <v>1.8</v>
      </c>
      <c r="X19" s="4">
        <f t="shared" si="8"/>
        <v>43.8</v>
      </c>
      <c r="Y19" s="4"/>
      <c r="Z19" s="4"/>
    </row>
    <row r="20" ht="14.25" customHeight="1">
      <c r="A20" s="4">
        <f t="shared" si="1"/>
        <v>39</v>
      </c>
      <c r="B20" s="85">
        <v>19.0</v>
      </c>
      <c r="C20" s="86" t="s">
        <v>65</v>
      </c>
      <c r="D20" s="55">
        <f>'נוסחאות'!C21</f>
        <v>205</v>
      </c>
      <c r="E20" s="4">
        <f>'נוסחאות'!D21</f>
        <v>0</v>
      </c>
      <c r="F20" s="4">
        <f>'נוסחאות'!F21</f>
        <v>0</v>
      </c>
      <c r="G20" s="55">
        <f t="shared" si="2"/>
        <v>-154616</v>
      </c>
      <c r="H20" s="56">
        <f t="shared" si="3"/>
        <v>-3.245696617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>
        <f t="shared" si="6"/>
        <v>39</v>
      </c>
      <c r="V20" s="4">
        <f t="shared" si="7"/>
        <v>11</v>
      </c>
      <c r="W20" s="22">
        <v>1.9</v>
      </c>
      <c r="X20" s="4">
        <f t="shared" si="8"/>
        <v>51.9</v>
      </c>
      <c r="Y20" s="4"/>
      <c r="Z20" s="4"/>
    </row>
    <row r="21" ht="14.25" customHeight="1">
      <c r="A21" s="4">
        <f t="shared" si="1"/>
        <v>40</v>
      </c>
      <c r="B21" s="85">
        <v>20.0</v>
      </c>
      <c r="C21" s="86" t="s">
        <v>67</v>
      </c>
      <c r="D21" s="55">
        <f>'נוסחאות'!C22</f>
        <v>152</v>
      </c>
      <c r="E21" s="4">
        <f>'נוסחאות'!D22</f>
        <v>0</v>
      </c>
      <c r="F21" s="4">
        <f>'נוסחאות'!F22</f>
        <v>0</v>
      </c>
      <c r="G21" s="55">
        <f t="shared" si="2"/>
        <v>-154669</v>
      </c>
      <c r="H21" s="56">
        <f t="shared" si="3"/>
        <v>-3.246809199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>
        <f t="shared" si="6"/>
        <v>40</v>
      </c>
      <c r="V21" s="4">
        <f t="shared" si="7"/>
        <v>11</v>
      </c>
      <c r="W21" s="22">
        <v>2.0</v>
      </c>
      <c r="X21" s="4">
        <f t="shared" si="8"/>
        <v>53</v>
      </c>
      <c r="Y21" s="4"/>
      <c r="Z21" s="4"/>
    </row>
    <row r="22" ht="14.25" customHeight="1">
      <c r="A22" s="4">
        <f t="shared" si="1"/>
        <v>34</v>
      </c>
      <c r="B22" s="85">
        <v>21.0</v>
      </c>
      <c r="C22" s="86" t="s">
        <v>70</v>
      </c>
      <c r="D22" s="55">
        <f>'נוסחאות'!C23</f>
        <v>377</v>
      </c>
      <c r="E22" s="4">
        <f>'נוסחאות'!D23</f>
        <v>0</v>
      </c>
      <c r="F22" s="4">
        <f>'נוסחאות'!F23</f>
        <v>0</v>
      </c>
      <c r="G22" s="55">
        <f t="shared" si="2"/>
        <v>-154444</v>
      </c>
      <c r="H22" s="56">
        <f t="shared" si="3"/>
        <v>-3.242085974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>
        <f t="shared" si="6"/>
        <v>35</v>
      </c>
      <c r="V22" s="4">
        <f t="shared" si="7"/>
        <v>11</v>
      </c>
      <c r="W22" s="22">
        <v>2.1</v>
      </c>
      <c r="X22" s="4">
        <f t="shared" si="8"/>
        <v>48.1</v>
      </c>
      <c r="Y22" s="4"/>
      <c r="Z22" s="4"/>
    </row>
    <row r="23" ht="14.25" customHeight="1">
      <c r="A23" s="4">
        <f t="shared" si="1"/>
        <v>38</v>
      </c>
      <c r="B23" s="85">
        <v>22.0</v>
      </c>
      <c r="C23" s="86" t="s">
        <v>73</v>
      </c>
      <c r="D23" s="55">
        <f>'נוסחאות'!C24</f>
        <v>234</v>
      </c>
      <c r="E23" s="4">
        <f>'נוסחאות'!D24</f>
        <v>0</v>
      </c>
      <c r="F23" s="4">
        <f>'נוסחאות'!F24</f>
        <v>0</v>
      </c>
      <c r="G23" s="55">
        <f t="shared" si="2"/>
        <v>-154587</v>
      </c>
      <c r="H23" s="56">
        <f t="shared" si="3"/>
        <v>-3.245087846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>
        <f t="shared" si="6"/>
        <v>38</v>
      </c>
      <c r="V23" s="4">
        <f t="shared" si="7"/>
        <v>11</v>
      </c>
      <c r="W23" s="22">
        <v>2.2</v>
      </c>
      <c r="X23" s="4">
        <f t="shared" si="8"/>
        <v>51.2</v>
      </c>
      <c r="Y23" s="4"/>
      <c r="Z23" s="4"/>
    </row>
    <row r="24" ht="14.25" customHeight="1">
      <c r="A24" s="4">
        <f t="shared" si="1"/>
        <v>36</v>
      </c>
      <c r="B24" s="85">
        <v>23.0</v>
      </c>
      <c r="C24" s="86" t="s">
        <v>76</v>
      </c>
      <c r="D24" s="55">
        <f>'נוסחאות'!C25</f>
        <v>265</v>
      </c>
      <c r="E24" s="4">
        <f>'נוסחאות'!D25</f>
        <v>0</v>
      </c>
      <c r="F24" s="4">
        <f>'נוסחאות'!F25</f>
        <v>0</v>
      </c>
      <c r="G24" s="55">
        <f t="shared" si="2"/>
        <v>-154556</v>
      </c>
      <c r="H24" s="56">
        <f t="shared" si="3"/>
        <v>-3.24443709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>
        <f t="shared" si="6"/>
        <v>36</v>
      </c>
      <c r="V24" s="4">
        <f t="shared" si="7"/>
        <v>11</v>
      </c>
      <c r="W24" s="22">
        <v>2.3</v>
      </c>
      <c r="X24" s="4">
        <f t="shared" si="8"/>
        <v>49.3</v>
      </c>
      <c r="Y24" s="4"/>
      <c r="Z24" s="4"/>
    </row>
    <row r="25" ht="14.25" customHeight="1">
      <c r="A25" s="4">
        <f t="shared" si="1"/>
        <v>32</v>
      </c>
      <c r="B25" s="85">
        <v>24.0</v>
      </c>
      <c r="C25" s="86" t="s">
        <v>80</v>
      </c>
      <c r="D25" s="55">
        <f>'נוסחאות'!C26</f>
        <v>425</v>
      </c>
      <c r="E25" s="4">
        <f>'נוסחאות'!D26</f>
        <v>0</v>
      </c>
      <c r="F25" s="4">
        <f>'נוסחאות'!F26</f>
        <v>0</v>
      </c>
      <c r="G25" s="55">
        <f t="shared" si="2"/>
        <v>-154396</v>
      </c>
      <c r="H25" s="56">
        <f t="shared" si="3"/>
        <v>-3.241078352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>
        <f t="shared" si="6"/>
        <v>32</v>
      </c>
      <c r="V25" s="4">
        <f t="shared" si="7"/>
        <v>11</v>
      </c>
      <c r="W25" s="22">
        <v>2.4</v>
      </c>
      <c r="X25" s="4">
        <f t="shared" si="8"/>
        <v>45.4</v>
      </c>
      <c r="Y25" s="4"/>
      <c r="Z25" s="4"/>
    </row>
    <row r="26" ht="14.25" customHeight="1">
      <c r="A26" s="4">
        <f t="shared" si="1"/>
        <v>22</v>
      </c>
      <c r="B26" s="85">
        <v>25.0</v>
      </c>
      <c r="C26" s="86" t="s">
        <v>82</v>
      </c>
      <c r="D26" s="55">
        <f>'נוסחאות'!C27</f>
        <v>1321</v>
      </c>
      <c r="E26" s="4">
        <f>'נוסחאות'!D27</f>
        <v>0</v>
      </c>
      <c r="F26" s="4">
        <f>'נוסחאות'!F27</f>
        <v>0</v>
      </c>
      <c r="G26" s="55">
        <f t="shared" si="2"/>
        <v>-153500</v>
      </c>
      <c r="H26" s="56">
        <f t="shared" si="3"/>
        <v>-3.222269419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f t="shared" si="6"/>
        <v>22</v>
      </c>
      <c r="V26" s="4">
        <f t="shared" si="7"/>
        <v>11</v>
      </c>
      <c r="W26" s="22">
        <v>2.5</v>
      </c>
      <c r="X26" s="4">
        <f t="shared" si="8"/>
        <v>35.5</v>
      </c>
      <c r="Y26" s="4"/>
      <c r="Z26" s="4"/>
    </row>
    <row r="27" ht="14.25" customHeight="1">
      <c r="A27" s="4">
        <f t="shared" si="1"/>
        <v>29</v>
      </c>
      <c r="B27" s="85">
        <v>26.0</v>
      </c>
      <c r="C27" s="86" t="s">
        <v>85</v>
      </c>
      <c r="D27" s="55">
        <f>'נוסחאות'!C28</f>
        <v>533</v>
      </c>
      <c r="E27" s="4">
        <f>'נוסחאות'!D28</f>
        <v>0</v>
      </c>
      <c r="F27" s="4">
        <f>'נוסחאות'!F28</f>
        <v>0</v>
      </c>
      <c r="G27" s="55">
        <f t="shared" si="2"/>
        <v>-154288</v>
      </c>
      <c r="H27" s="56">
        <f t="shared" si="3"/>
        <v>-3.238811204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>
        <f t="shared" si="6"/>
        <v>30</v>
      </c>
      <c r="V27" s="4">
        <f t="shared" si="7"/>
        <v>11</v>
      </c>
      <c r="W27" s="22">
        <v>2.6</v>
      </c>
      <c r="X27" s="4">
        <f t="shared" si="8"/>
        <v>43.6</v>
      </c>
      <c r="Y27" s="4"/>
      <c r="Z27" s="4"/>
    </row>
    <row r="28" ht="14.25" customHeight="1">
      <c r="A28" s="4">
        <f t="shared" si="1"/>
        <v>21</v>
      </c>
      <c r="B28" s="85">
        <v>27.0</v>
      </c>
      <c r="C28" s="86" t="s">
        <v>87</v>
      </c>
      <c r="D28" s="55">
        <f>'נוסחאות'!C29</f>
        <v>1344</v>
      </c>
      <c r="E28" s="4">
        <f>'נוסחאות'!D29</f>
        <v>0</v>
      </c>
      <c r="F28" s="4">
        <f>'נוסחאות'!F29</f>
        <v>0</v>
      </c>
      <c r="G28" s="55">
        <f t="shared" si="2"/>
        <v>-153477</v>
      </c>
      <c r="H28" s="56">
        <f t="shared" si="3"/>
        <v>-3.221786601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>
        <f t="shared" si="6"/>
        <v>21</v>
      </c>
      <c r="V28" s="4">
        <f t="shared" si="7"/>
        <v>11</v>
      </c>
      <c r="W28" s="22">
        <v>2.7</v>
      </c>
      <c r="X28" s="4">
        <f t="shared" si="8"/>
        <v>34.7</v>
      </c>
      <c r="Y28" s="4"/>
      <c r="Z28" s="4"/>
    </row>
    <row r="29" ht="14.25" customHeight="1">
      <c r="A29" s="4">
        <f t="shared" si="1"/>
        <v>37</v>
      </c>
      <c r="B29" s="85">
        <v>28.0</v>
      </c>
      <c r="C29" s="86" t="s">
        <v>89</v>
      </c>
      <c r="D29" s="55">
        <f>'נוסחאות'!C30</f>
        <v>256</v>
      </c>
      <c r="E29" s="4">
        <f>'נוסחאות'!D30</f>
        <v>0</v>
      </c>
      <c r="F29" s="4">
        <f>'נוסחאות'!F30</f>
        <v>0</v>
      </c>
      <c r="G29" s="55">
        <f t="shared" si="2"/>
        <v>-154565</v>
      </c>
      <c r="H29" s="56">
        <f t="shared" si="3"/>
        <v>-3.244626019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>
        <f t="shared" si="6"/>
        <v>37</v>
      </c>
      <c r="V29" s="4">
        <f t="shared" si="7"/>
        <v>11</v>
      </c>
      <c r="W29" s="22">
        <v>2.8</v>
      </c>
      <c r="X29" s="4">
        <f t="shared" si="8"/>
        <v>50.8</v>
      </c>
      <c r="Y29" s="4"/>
      <c r="Z29" s="4"/>
    </row>
    <row r="30" ht="14.25" customHeight="1">
      <c r="A30" s="4">
        <f t="shared" si="1"/>
        <v>27</v>
      </c>
      <c r="B30" s="85">
        <v>29.0</v>
      </c>
      <c r="C30" s="86" t="s">
        <v>92</v>
      </c>
      <c r="D30" s="55">
        <f>'נוסחאות'!C31</f>
        <v>1018</v>
      </c>
      <c r="E30" s="4">
        <f>'נוסחאות'!D31</f>
        <v>0</v>
      </c>
      <c r="F30" s="4">
        <f>'נוסחאות'!F31</f>
        <v>0</v>
      </c>
      <c r="G30" s="55">
        <f t="shared" si="2"/>
        <v>-153803</v>
      </c>
      <c r="H30" s="56">
        <f t="shared" si="3"/>
        <v>-3.22863003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f t="shared" si="6"/>
        <v>27</v>
      </c>
      <c r="V30" s="4">
        <f t="shared" si="7"/>
        <v>11</v>
      </c>
      <c r="W30" s="22">
        <v>2.9</v>
      </c>
      <c r="X30" s="4">
        <f t="shared" si="8"/>
        <v>40.9</v>
      </c>
      <c r="Y30" s="4"/>
      <c r="Z30" s="4"/>
    </row>
    <row r="31" ht="14.25" customHeight="1">
      <c r="A31" s="4">
        <f t="shared" si="1"/>
        <v>25</v>
      </c>
      <c r="B31" s="85">
        <v>30.0</v>
      </c>
      <c r="C31" s="86" t="s">
        <v>94</v>
      </c>
      <c r="D31" s="55">
        <f>'נוסחאות'!C32</f>
        <v>1213</v>
      </c>
      <c r="E31" s="4">
        <f>'נוסחאות'!D32</f>
        <v>0</v>
      </c>
      <c r="F31" s="4">
        <f>'נוסחאות'!F32</f>
        <v>0</v>
      </c>
      <c r="G31" s="55">
        <f t="shared" si="2"/>
        <v>-153608</v>
      </c>
      <c r="H31" s="56">
        <f t="shared" si="3"/>
        <v>-3.224536568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f t="shared" si="6"/>
        <v>24</v>
      </c>
      <c r="V31" s="4">
        <f t="shared" si="7"/>
        <v>11</v>
      </c>
      <c r="W31" s="22">
        <v>3.0</v>
      </c>
      <c r="X31" s="4">
        <f t="shared" si="8"/>
        <v>38</v>
      </c>
      <c r="Y31" s="4"/>
      <c r="Z31" s="4"/>
    </row>
    <row r="32" ht="14.25" customHeight="1">
      <c r="A32" s="4">
        <f t="shared" si="1"/>
        <v>33</v>
      </c>
      <c r="B32" s="85">
        <v>31.0</v>
      </c>
      <c r="C32" s="86" t="s">
        <v>96</v>
      </c>
      <c r="D32" s="55">
        <f>'נוסחאות'!C33</f>
        <v>413</v>
      </c>
      <c r="E32" s="4">
        <f>'נוסחאות'!D33</f>
        <v>0</v>
      </c>
      <c r="F32" s="4">
        <f>'נוסחאות'!F33</f>
        <v>0</v>
      </c>
      <c r="G32" s="55">
        <f t="shared" si="2"/>
        <v>-154408</v>
      </c>
      <c r="H32" s="56">
        <f t="shared" si="3"/>
        <v>-3.241330258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>
        <f t="shared" si="6"/>
        <v>33</v>
      </c>
      <c r="V32" s="4">
        <f t="shared" si="7"/>
        <v>11</v>
      </c>
      <c r="W32" s="22">
        <v>3.1</v>
      </c>
      <c r="X32" s="4">
        <f t="shared" si="8"/>
        <v>47.1</v>
      </c>
      <c r="Y32" s="4"/>
      <c r="Z32" s="4"/>
    </row>
    <row r="33" ht="14.25" customHeight="1">
      <c r="A33" s="4">
        <f t="shared" si="1"/>
        <v>18</v>
      </c>
      <c r="B33" s="85">
        <v>32.0</v>
      </c>
      <c r="C33" s="86" t="s">
        <v>98</v>
      </c>
      <c r="D33" s="55">
        <f>'נוסחאות'!C34</f>
        <v>1728</v>
      </c>
      <c r="E33" s="4">
        <f>'נוסחאות'!D34</f>
        <v>0</v>
      </c>
      <c r="F33" s="4">
        <f>'נוסחאות'!F34</f>
        <v>0</v>
      </c>
      <c r="G33" s="55">
        <f t="shared" si="2"/>
        <v>-153093</v>
      </c>
      <c r="H33" s="56">
        <f t="shared" si="3"/>
        <v>-3.21372563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>
        <f t="shared" si="6"/>
        <v>18</v>
      </c>
      <c r="V33" s="4">
        <f t="shared" si="7"/>
        <v>11</v>
      </c>
      <c r="W33" s="22">
        <v>3.2</v>
      </c>
      <c r="X33" s="4">
        <f t="shared" si="8"/>
        <v>32.2</v>
      </c>
      <c r="Y33" s="4"/>
      <c r="Z33" s="4"/>
    </row>
    <row r="34" ht="14.25" customHeight="1">
      <c r="A34" s="4">
        <f t="shared" si="1"/>
        <v>28</v>
      </c>
      <c r="B34" s="85">
        <v>33.0</v>
      </c>
      <c r="C34" s="86" t="s">
        <v>100</v>
      </c>
      <c r="D34" s="55">
        <f>'נוסחאות'!C35</f>
        <v>982</v>
      </c>
      <c r="E34" s="4">
        <f>'נוסחאות'!D35</f>
        <v>0</v>
      </c>
      <c r="F34" s="4">
        <f>'נוסחאות'!F35</f>
        <v>0</v>
      </c>
      <c r="G34" s="55">
        <f t="shared" si="2"/>
        <v>-153839</v>
      </c>
      <c r="H34" s="56">
        <f t="shared" si="3"/>
        <v>-3.229385746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>
        <f t="shared" si="6"/>
        <v>28</v>
      </c>
      <c r="V34" s="4">
        <f t="shared" si="7"/>
        <v>11</v>
      </c>
      <c r="W34" s="22">
        <v>3.3</v>
      </c>
      <c r="X34" s="4">
        <f t="shared" si="8"/>
        <v>42.3</v>
      </c>
      <c r="Y34" s="4"/>
      <c r="Z34" s="4"/>
    </row>
    <row r="35" ht="14.25" customHeight="1">
      <c r="A35" s="4">
        <f t="shared" si="1"/>
        <v>20</v>
      </c>
      <c r="B35" s="85">
        <v>34.0</v>
      </c>
      <c r="C35" s="86" t="s">
        <v>182</v>
      </c>
      <c r="D35" s="55">
        <f>'נוסחאות'!C36</f>
        <v>1619</v>
      </c>
      <c r="E35" s="4">
        <f>'נוסחאות'!D36</f>
        <v>0</v>
      </c>
      <c r="F35" s="4">
        <f>'נוסחאות'!F36</f>
        <v>0</v>
      </c>
      <c r="G35" s="55">
        <f t="shared" si="2"/>
        <v>-153202</v>
      </c>
      <c r="H35" s="56">
        <f t="shared" si="3"/>
        <v>-3.21601377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>
        <f t="shared" si="6"/>
        <v>20</v>
      </c>
      <c r="V35" s="4">
        <f t="shared" si="7"/>
        <v>11</v>
      </c>
      <c r="W35" s="22">
        <v>3.4</v>
      </c>
      <c r="X35" s="4">
        <f t="shared" si="8"/>
        <v>34.4</v>
      </c>
      <c r="Y35" s="4"/>
      <c r="Z35" s="4"/>
    </row>
    <row r="36" ht="14.25" customHeight="1">
      <c r="A36" s="4">
        <f t="shared" si="1"/>
        <v>35</v>
      </c>
      <c r="B36" s="85">
        <v>35.0</v>
      </c>
      <c r="C36" s="86" t="s">
        <v>107</v>
      </c>
      <c r="D36" s="55">
        <f>'נוסחאות'!C37</f>
        <v>412</v>
      </c>
      <c r="E36" s="4">
        <f>'נוסחאות'!D37</f>
        <v>0</v>
      </c>
      <c r="F36" s="4">
        <f>'נוסחאות'!F37</f>
        <v>0</v>
      </c>
      <c r="G36" s="55">
        <f t="shared" si="2"/>
        <v>-154409</v>
      </c>
      <c r="H36" s="56">
        <f t="shared" si="3"/>
        <v>-3.24135125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>
        <f t="shared" si="6"/>
        <v>34</v>
      </c>
      <c r="V36" s="4">
        <f t="shared" si="7"/>
        <v>11</v>
      </c>
      <c r="W36" s="22">
        <v>3.5</v>
      </c>
      <c r="X36" s="4">
        <f t="shared" si="8"/>
        <v>48.5</v>
      </c>
      <c r="Y36" s="4"/>
      <c r="Z36" s="4"/>
    </row>
    <row r="37" ht="14.25" customHeight="1">
      <c r="A37" s="4">
        <f t="shared" si="1"/>
        <v>26</v>
      </c>
      <c r="B37" s="85">
        <v>36.0</v>
      </c>
      <c r="C37" s="86" t="s">
        <v>109</v>
      </c>
      <c r="D37" s="55">
        <f>'נוסחאות'!C38</f>
        <v>1078</v>
      </c>
      <c r="E37" s="4">
        <f>'נוסחאות'!D38</f>
        <v>0</v>
      </c>
      <c r="F37" s="4">
        <f>'נוסחאות'!F38</f>
        <v>0</v>
      </c>
      <c r="G37" s="55">
        <f t="shared" si="2"/>
        <v>-153743</v>
      </c>
      <c r="H37" s="56">
        <f t="shared" si="3"/>
        <v>-3.227370503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>
        <f t="shared" si="6"/>
        <v>26</v>
      </c>
      <c r="V37" s="4">
        <f t="shared" si="7"/>
        <v>11</v>
      </c>
      <c r="W37" s="22">
        <v>3.6</v>
      </c>
      <c r="X37" s="4">
        <f t="shared" si="8"/>
        <v>40.6</v>
      </c>
      <c r="Y37" s="4"/>
      <c r="Z37" s="4"/>
    </row>
    <row r="38" ht="14.25" customHeight="1">
      <c r="A38" s="4">
        <f t="shared" si="1"/>
        <v>24</v>
      </c>
      <c r="B38" s="85">
        <v>37.0</v>
      </c>
      <c r="C38" s="86" t="s">
        <v>112</v>
      </c>
      <c r="D38" s="55">
        <f>'נוסחאות'!C39</f>
        <v>1292</v>
      </c>
      <c r="E38" s="4">
        <f>'נוסחאות'!D39</f>
        <v>0</v>
      </c>
      <c r="F38" s="4">
        <f>'נוסחאות'!F39</f>
        <v>0</v>
      </c>
      <c r="G38" s="55">
        <f t="shared" si="2"/>
        <v>-153529</v>
      </c>
      <c r="H38" s="56">
        <f t="shared" si="3"/>
        <v>-3.222878191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>
        <f t="shared" si="6"/>
        <v>23</v>
      </c>
      <c r="V38" s="4">
        <f t="shared" si="7"/>
        <v>11</v>
      </c>
      <c r="W38" s="22">
        <v>3.7</v>
      </c>
      <c r="X38" s="4">
        <f t="shared" si="8"/>
        <v>37.7</v>
      </c>
      <c r="Y38" s="4"/>
      <c r="Z38" s="4"/>
    </row>
    <row r="39" ht="14.25" customHeight="1">
      <c r="A39" s="4">
        <f t="shared" si="1"/>
        <v>17</v>
      </c>
      <c r="B39" s="85">
        <v>38.0</v>
      </c>
      <c r="C39" s="86" t="s">
        <v>115</v>
      </c>
      <c r="D39" s="55">
        <f>'נוסחאות'!C40</f>
        <v>14781</v>
      </c>
      <c r="E39" s="4">
        <f>'נוסחאות'!D40</f>
        <v>0</v>
      </c>
      <c r="F39" s="4">
        <f>'נוסחאות'!F40</f>
        <v>0</v>
      </c>
      <c r="G39" s="55">
        <f t="shared" si="2"/>
        <v>-140040</v>
      </c>
      <c r="H39" s="56">
        <f t="shared" si="3"/>
        <v>-2.939715586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>
        <f t="shared" si="6"/>
        <v>15</v>
      </c>
      <c r="V39" s="4">
        <f t="shared" si="7"/>
        <v>11</v>
      </c>
      <c r="W39" s="22">
        <v>3.8</v>
      </c>
      <c r="X39" s="4">
        <f t="shared" si="8"/>
        <v>29.8</v>
      </c>
      <c r="Y39" s="4"/>
      <c r="Z39" s="4"/>
    </row>
    <row r="40" ht="14.25" customHeight="1">
      <c r="A40" s="4">
        <f t="shared" si="1"/>
        <v>31</v>
      </c>
      <c r="B40" s="85">
        <v>39.0</v>
      </c>
      <c r="C40" s="86" t="s">
        <v>118</v>
      </c>
      <c r="D40" s="55">
        <f>'נוסחאות'!C41</f>
        <v>948</v>
      </c>
      <c r="E40" s="4">
        <f>'נוסחאות'!D41</f>
        <v>0</v>
      </c>
      <c r="F40" s="4">
        <f>'נוסחאות'!F41</f>
        <v>0</v>
      </c>
      <c r="G40" s="55">
        <f t="shared" si="2"/>
        <v>-153873</v>
      </c>
      <c r="H40" s="56">
        <f t="shared" si="3"/>
        <v>-3.230099477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>
        <f t="shared" si="6"/>
        <v>29</v>
      </c>
      <c r="V40" s="4">
        <f t="shared" si="7"/>
        <v>11</v>
      </c>
      <c r="W40" s="22">
        <v>3.9</v>
      </c>
      <c r="X40" s="4">
        <f t="shared" si="8"/>
        <v>43.9</v>
      </c>
      <c r="Y40" s="4"/>
      <c r="Z40" s="4"/>
    </row>
    <row r="41" ht="14.25" customHeight="1">
      <c r="A41" s="4">
        <f t="shared" si="1"/>
        <v>19</v>
      </c>
      <c r="B41" s="85">
        <v>40.0</v>
      </c>
      <c r="C41" s="86" t="s">
        <v>120</v>
      </c>
      <c r="D41" s="55">
        <f>'נוסחאות'!C42</f>
        <v>1669</v>
      </c>
      <c r="E41" s="4">
        <f>'נוסחאות'!D42</f>
        <v>0</v>
      </c>
      <c r="F41" s="4">
        <f>'נוסחאות'!F42</f>
        <v>0</v>
      </c>
      <c r="G41" s="55">
        <f t="shared" si="2"/>
        <v>-153152</v>
      </c>
      <c r="H41" s="56">
        <f t="shared" si="3"/>
        <v>-3.214964164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>
        <f t="shared" si="6"/>
        <v>19</v>
      </c>
      <c r="V41" s="4">
        <f t="shared" si="7"/>
        <v>11</v>
      </c>
      <c r="W41" s="22">
        <v>4.0</v>
      </c>
      <c r="X41" s="4">
        <f t="shared" si="8"/>
        <v>34</v>
      </c>
      <c r="Y41" s="4"/>
      <c r="Z41" s="4"/>
    </row>
    <row r="42" ht="14.25" customHeight="1">
      <c r="A42" s="4"/>
      <c r="B42" s="94"/>
      <c r="C42" s="94"/>
      <c r="D42" s="4"/>
      <c r="E42" s="4"/>
      <c r="F42" s="4"/>
      <c r="G42" s="4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94"/>
      <c r="C43" s="94" t="str">
        <f>'נוסחאות'!B43</f>
        <v/>
      </c>
      <c r="D43" s="55" t="str">
        <f>'נוסחאות'!C43</f>
        <v/>
      </c>
      <c r="E43" s="4" t="str">
        <f>'נוסחאות'!D43</f>
        <v/>
      </c>
      <c r="F43" s="4" t="str">
        <f>'נוסחאות'!F43</f>
        <v/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94"/>
      <c r="C44" s="94" t="str">
        <f>'נוסחאות'!B44</f>
        <v/>
      </c>
      <c r="D44" s="55" t="str">
        <f>'נוסחאות'!C44</f>
        <v/>
      </c>
      <c r="E44" s="4" t="str">
        <f>'נוסחאות'!D44</f>
        <v/>
      </c>
      <c r="F44" s="4" t="str">
        <f>'נוסחאות'!F44</f>
        <v/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